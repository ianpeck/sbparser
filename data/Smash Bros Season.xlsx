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7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9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0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1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19202\GitHub\sbparser\"/>
    </mc:Choice>
  </mc:AlternateContent>
  <xr:revisionPtr revIDLastSave="0" documentId="13_ncr:1_{6ACA1142-1B32-418B-BA0C-8D7F9319BBE9}" xr6:coauthVersionLast="47" xr6:coauthVersionMax="47" xr10:uidLastSave="{00000000-0000-0000-0000-000000000000}"/>
  <bookViews>
    <workbookView xWindow="28702" yWindow="-98" windowWidth="28995" windowHeight="15675" tabRatio="500" firstSheet="5" activeTab="10" xr2:uid="{00000000-000D-0000-FFFF-FFFF00000000}"/>
  </bookViews>
  <sheets>
    <sheet name="Current Roster" sheetId="3" r:id="rId1"/>
    <sheet name="Ultimate Draft" sheetId="1" r:id="rId2"/>
    <sheet name="Championship History" sheetId="6" r:id="rId3"/>
    <sheet name="Award History" sheetId="16" r:id="rId4"/>
    <sheet name="Career Stats" sheetId="15" r:id="rId5"/>
    <sheet name="Ultimate Tourney" sheetId="17" r:id="rId6"/>
    <sheet name="Season 7" sheetId="19" r:id="rId7"/>
    <sheet name="Season 7 Stats" sheetId="21" r:id="rId8"/>
    <sheet name="Season 7 Awards" sheetId="20" r:id="rId9"/>
    <sheet name="Season 7 Draft" sheetId="22" r:id="rId10"/>
    <sheet name="Season 6" sheetId="13" r:id="rId11"/>
    <sheet name="Season 6 Stats" sheetId="14" r:id="rId12"/>
    <sheet name="Season 6 Awards" sheetId="18" r:id="rId13"/>
    <sheet name="Season 5" sheetId="4" r:id="rId14"/>
    <sheet name="Season 5 Awards" sheetId="9" r:id="rId15"/>
    <sheet name="Season 5 Stats" sheetId="5" r:id="rId16"/>
    <sheet name="Season 4 Stats" sheetId="7" r:id="rId17"/>
    <sheet name="Season 3 Stats" sheetId="8" r:id="rId18"/>
    <sheet name="Season 2 Stats" sheetId="11" r:id="rId19"/>
    <sheet name="Season 1 Stats" sheetId="12" r:id="rId20"/>
  </sheets>
  <definedNames>
    <definedName name="_xlnm._FilterDatabase" localSheetId="15" hidden="1">'Season 5 Stats'!$A$21:$C$38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5" i="21" l="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D2" i="15" s="1"/>
  <c r="C75" i="21"/>
  <c r="C76" i="21"/>
  <c r="C77" i="21"/>
  <c r="C78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C2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" i="15"/>
  <c r="E2" i="15" l="1"/>
  <c r="C30" i="15" l="1"/>
  <c r="D30" i="15"/>
  <c r="C72" i="15"/>
  <c r="D72" i="15"/>
  <c r="C65" i="15"/>
  <c r="D65" i="15"/>
  <c r="E30" i="15" l="1"/>
  <c r="E72" i="15"/>
  <c r="C12" i="15"/>
  <c r="D12" i="15"/>
  <c r="C7" i="15"/>
  <c r="D7" i="15"/>
  <c r="D34" i="15" l="1"/>
  <c r="D23" i="15"/>
  <c r="D60" i="15"/>
  <c r="D64" i="15"/>
  <c r="D74" i="15"/>
  <c r="D51" i="15"/>
  <c r="D57" i="15"/>
  <c r="D58" i="15"/>
  <c r="D54" i="15"/>
  <c r="D33" i="15"/>
  <c r="D46" i="15"/>
  <c r="D13" i="15"/>
  <c r="D28" i="15"/>
  <c r="D6" i="15"/>
  <c r="D73" i="15"/>
  <c r="D50" i="15"/>
  <c r="D49" i="15"/>
  <c r="D32" i="15"/>
  <c r="D52" i="15"/>
  <c r="D48" i="15"/>
  <c r="D3" i="15"/>
  <c r="D70" i="15"/>
  <c r="D19" i="15"/>
  <c r="D40" i="15"/>
  <c r="C34" i="15"/>
  <c r="C23" i="15"/>
  <c r="C60" i="15"/>
  <c r="C64" i="15"/>
  <c r="C74" i="15"/>
  <c r="C51" i="15"/>
  <c r="C57" i="15"/>
  <c r="C58" i="15"/>
  <c r="C54" i="15"/>
  <c r="C33" i="15"/>
  <c r="C46" i="15"/>
  <c r="C13" i="15"/>
  <c r="C28" i="15"/>
  <c r="C6" i="15"/>
  <c r="C73" i="15"/>
  <c r="C50" i="15"/>
  <c r="C49" i="15"/>
  <c r="C32" i="15"/>
  <c r="C52" i="15"/>
  <c r="C48" i="15"/>
  <c r="C3" i="15"/>
  <c r="C70" i="15"/>
  <c r="C19" i="15"/>
  <c r="C40" i="15"/>
  <c r="C36" i="15"/>
  <c r="C67" i="15"/>
  <c r="C26" i="15"/>
  <c r="C44" i="15"/>
  <c r="C62" i="15"/>
  <c r="C61" i="15"/>
  <c r="C68" i="15"/>
  <c r="C55" i="15"/>
  <c r="D67" i="15"/>
  <c r="D26" i="15"/>
  <c r="D44" i="15"/>
  <c r="D62" i="15"/>
  <c r="D61" i="15"/>
  <c r="D68" i="15"/>
  <c r="D55" i="15"/>
  <c r="D36" i="15"/>
  <c r="E33" i="15" l="1"/>
  <c r="E12" i="15"/>
  <c r="E7" i="15"/>
  <c r="E6" i="15" l="1"/>
  <c r="E50" i="15"/>
  <c r="E23" i="15"/>
  <c r="E49" i="15"/>
  <c r="E65" i="15"/>
  <c r="E40" i="15"/>
  <c r="E62" i="15"/>
  <c r="E67" i="15"/>
  <c r="E48" i="15"/>
  <c r="E36" i="15"/>
  <c r="E19" i="15"/>
  <c r="E68" i="15"/>
  <c r="E58" i="15"/>
  <c r="E26" i="15"/>
  <c r="E60" i="15"/>
  <c r="E52" i="15"/>
  <c r="E64" i="15"/>
  <c r="E28" i="15"/>
  <c r="E73" i="15"/>
  <c r="E44" i="15"/>
  <c r="E55" i="15"/>
  <c r="E54" i="15"/>
  <c r="E70" i="15"/>
  <c r="E34" i="15"/>
  <c r="E74" i="15"/>
  <c r="E61" i="15"/>
  <c r="E51" i="15"/>
  <c r="E46" i="15"/>
  <c r="E13" i="15"/>
  <c r="E3" i="15"/>
  <c r="E32" i="15"/>
  <c r="E57" i="15"/>
  <c r="C18" i="15"/>
  <c r="C21" i="15"/>
  <c r="D53" i="15"/>
  <c r="D21" i="15"/>
  <c r="D37" i="15"/>
  <c r="D8" i="15"/>
  <c r="D18" i="15"/>
  <c r="D59" i="15"/>
  <c r="D9" i="15"/>
  <c r="D22" i="15"/>
  <c r="D38" i="15"/>
  <c r="D29" i="15"/>
  <c r="D45" i="15"/>
  <c r="D20" i="15"/>
  <c r="D63" i="15"/>
  <c r="D4" i="15"/>
  <c r="D24" i="15"/>
  <c r="D35" i="15"/>
  <c r="D16" i="15"/>
  <c r="C53" i="15"/>
  <c r="C37" i="15"/>
  <c r="C8" i="15"/>
  <c r="C59" i="15"/>
  <c r="C9" i="15"/>
  <c r="C22" i="15"/>
  <c r="C38" i="15"/>
  <c r="C29" i="15"/>
  <c r="C45" i="15"/>
  <c r="C20" i="15"/>
  <c r="C63" i="15"/>
  <c r="C4" i="15"/>
  <c r="C24" i="15"/>
  <c r="C35" i="15"/>
  <c r="C16" i="15"/>
  <c r="D31" i="15"/>
  <c r="D25" i="15"/>
  <c r="D42" i="15"/>
  <c r="D17" i="15"/>
  <c r="D71" i="15"/>
  <c r="D10" i="15"/>
  <c r="D27" i="15"/>
  <c r="D11" i="15"/>
  <c r="D69" i="15"/>
  <c r="D56" i="15"/>
  <c r="D5" i="15"/>
  <c r="D47" i="15"/>
  <c r="D66" i="15"/>
  <c r="D41" i="15"/>
  <c r="D14" i="15"/>
  <c r="D15" i="15"/>
  <c r="D43" i="15"/>
  <c r="C31" i="15"/>
  <c r="C25" i="15"/>
  <c r="C42" i="15"/>
  <c r="C17" i="15"/>
  <c r="C71" i="15"/>
  <c r="C10" i="15"/>
  <c r="C27" i="15"/>
  <c r="C11" i="15"/>
  <c r="C69" i="15"/>
  <c r="C56" i="15"/>
  <c r="C5" i="15"/>
  <c r="C47" i="15"/>
  <c r="C66" i="15"/>
  <c r="C41" i="15"/>
  <c r="D39" i="15"/>
  <c r="C14" i="15"/>
  <c r="C15" i="15"/>
  <c r="C43" i="15"/>
  <c r="C39" i="15"/>
  <c r="E47" i="15" l="1"/>
  <c r="E11" i="15"/>
  <c r="E17" i="15"/>
  <c r="E4" i="15"/>
  <c r="E29" i="15"/>
  <c r="E59" i="15"/>
  <c r="E39" i="15"/>
  <c r="E27" i="15"/>
  <c r="E42" i="15"/>
  <c r="E16" i="15"/>
  <c r="E63" i="15"/>
  <c r="E38" i="15"/>
  <c r="E8" i="15"/>
  <c r="E43" i="15"/>
  <c r="E41" i="15"/>
  <c r="E56" i="15"/>
  <c r="E10" i="15"/>
  <c r="E25" i="15"/>
  <c r="E35" i="15"/>
  <c r="E20" i="15"/>
  <c r="E22" i="15"/>
  <c r="E37" i="15"/>
  <c r="E15" i="15"/>
  <c r="E66" i="15"/>
  <c r="E69" i="15"/>
  <c r="E71" i="15"/>
  <c r="E31" i="15"/>
  <c r="E24" i="15"/>
  <c r="E45" i="15"/>
  <c r="E9" i="15"/>
  <c r="E53" i="15"/>
  <c r="E14" i="15"/>
  <c r="E5" i="15"/>
  <c r="E18" i="15"/>
  <c r="E21" i="15"/>
  <c r="A74" i="15" l="1"/>
  <c r="A73" i="15"/>
  <c r="A17" i="15"/>
  <c r="A20" i="15"/>
  <c r="A50" i="15"/>
  <c r="A55" i="15"/>
  <c r="A39" i="15"/>
  <c r="A12" i="15"/>
  <c r="A36" i="15"/>
  <c r="A56" i="15"/>
  <c r="A30" i="15"/>
  <c r="A8" i="15"/>
  <c r="A57" i="15"/>
  <c r="A58" i="15"/>
  <c r="A5" i="15"/>
  <c r="A44" i="15"/>
  <c r="A64" i="15"/>
  <c r="A19" i="15"/>
  <c r="A9" i="15"/>
  <c r="A6" i="15"/>
  <c r="A33" i="15"/>
  <c r="A26" i="15"/>
  <c r="A43" i="15"/>
  <c r="A38" i="15"/>
  <c r="A65" i="15"/>
  <c r="A45" i="15"/>
  <c r="A25" i="15"/>
  <c r="A47" i="15"/>
  <c r="A49" i="15"/>
  <c r="A61" i="15"/>
  <c r="A28" i="15"/>
  <c r="A27" i="15"/>
  <c r="A42" i="15"/>
  <c r="A59" i="15"/>
  <c r="A21" i="15"/>
  <c r="A7" i="15"/>
  <c r="A66" i="15"/>
  <c r="A31" i="15"/>
  <c r="A23" i="15"/>
  <c r="A35" i="15"/>
  <c r="A18" i="15"/>
  <c r="A10" i="15"/>
  <c r="A32" i="15"/>
  <c r="A13" i="15"/>
  <c r="A29" i="15"/>
  <c r="A15" i="15"/>
  <c r="A22" i="15"/>
  <c r="A62" i="15"/>
  <c r="A16" i="15"/>
  <c r="A52" i="15"/>
  <c r="A37" i="15"/>
  <c r="A24" i="15"/>
  <c r="A4" i="15"/>
  <c r="A14" i="15"/>
  <c r="A11" i="15"/>
  <c r="A3" i="15"/>
  <c r="A68" i="15"/>
  <c r="A48" i="15"/>
  <c r="A70" i="15"/>
  <c r="A41" i="15"/>
  <c r="A69" i="15"/>
  <c r="A71" i="15"/>
  <c r="A63" i="15"/>
  <c r="A46" i="15"/>
  <c r="A67" i="15"/>
  <c r="A53" i="15"/>
  <c r="A54" i="15"/>
  <c r="A60" i="15"/>
  <c r="A40" i="15"/>
  <c r="A34" i="15"/>
  <c r="A51" i="15"/>
  <c r="A72" i="15"/>
  <c r="A2" i="15"/>
</calcChain>
</file>

<file path=xl/sharedStrings.xml><?xml version="1.0" encoding="utf-8"?>
<sst xmlns="http://schemas.openxmlformats.org/spreadsheetml/2006/main" count="7366" uniqueCount="897">
  <si>
    <t>ULTIMATE DRAFT</t>
  </si>
  <si>
    <t>Mewtwo</t>
  </si>
  <si>
    <t>Ridley</t>
  </si>
  <si>
    <t>Cloud</t>
  </si>
  <si>
    <t>Ryu</t>
  </si>
  <si>
    <t>Mega Man</t>
  </si>
  <si>
    <t>Little Mac</t>
  </si>
  <si>
    <t>Shulk</t>
  </si>
  <si>
    <t>Young Link</t>
  </si>
  <si>
    <t>Pac-Man</t>
  </si>
  <si>
    <t>Bayonetta</t>
  </si>
  <si>
    <t>Greninja</t>
  </si>
  <si>
    <t>Roy</t>
  </si>
  <si>
    <t>Palutena</t>
  </si>
  <si>
    <t>Robin</t>
  </si>
  <si>
    <t>Duck Hunt</t>
  </si>
  <si>
    <t>Corrin</t>
  </si>
  <si>
    <t>Lucina</t>
  </si>
  <si>
    <t>Pichu</t>
  </si>
  <si>
    <t>Dr. Mario</t>
  </si>
  <si>
    <t>Rosalina &amp; Luma</t>
  </si>
  <si>
    <t>Villager</t>
  </si>
  <si>
    <t>Wii Fit Trainer</t>
  </si>
  <si>
    <t>Daisy</t>
  </si>
  <si>
    <t>Yoshi</t>
  </si>
  <si>
    <t>Round 1:</t>
  </si>
  <si>
    <t>Round 2:</t>
  </si>
  <si>
    <t>Round 3:</t>
  </si>
  <si>
    <t>Round 4:</t>
  </si>
  <si>
    <t>Round 5:</t>
  </si>
  <si>
    <t>Round 6:</t>
  </si>
  <si>
    <t>Round 7:</t>
  </si>
  <si>
    <t>Round 8:</t>
  </si>
  <si>
    <t>Round 9:</t>
  </si>
  <si>
    <t>Round 10:</t>
  </si>
  <si>
    <t>Round 11:</t>
  </si>
  <si>
    <t>Fox</t>
  </si>
  <si>
    <t>Diddy Kong</t>
  </si>
  <si>
    <t>Sonic</t>
  </si>
  <si>
    <t>Lucas</t>
  </si>
  <si>
    <t>Ice Climbers</t>
  </si>
  <si>
    <t>Zelda</t>
  </si>
  <si>
    <t>Toon Link</t>
  </si>
  <si>
    <t>Snake</t>
  </si>
  <si>
    <t>Peach</t>
  </si>
  <si>
    <t>ROB</t>
  </si>
  <si>
    <t>Ness</t>
  </si>
  <si>
    <t>Wario</t>
  </si>
  <si>
    <t>Jigglypuff</t>
  </si>
  <si>
    <t>Samus</t>
  </si>
  <si>
    <t>Lucario</t>
  </si>
  <si>
    <t>Marth</t>
  </si>
  <si>
    <t>Wolf</t>
  </si>
  <si>
    <t>Mario</t>
  </si>
  <si>
    <t>Falco</t>
  </si>
  <si>
    <t>Pit</t>
  </si>
  <si>
    <t>Kirby</t>
  </si>
  <si>
    <t>Pokemon Trainer</t>
  </si>
  <si>
    <t>Meta Knight</t>
  </si>
  <si>
    <t>King Dedede</t>
  </si>
  <si>
    <t>Bowser</t>
  </si>
  <si>
    <t>Pikachu</t>
  </si>
  <si>
    <t>Olimar</t>
  </si>
  <si>
    <t>Ike</t>
  </si>
  <si>
    <t>Luigi</t>
  </si>
  <si>
    <t>Captain Falcon</t>
  </si>
  <si>
    <t>Mr. Game &amp; Watch</t>
  </si>
  <si>
    <t>Ganondorf</t>
  </si>
  <si>
    <t>Month 1</t>
  </si>
  <si>
    <t xml:space="preserve">Brawl </t>
  </si>
  <si>
    <t>Wario - W</t>
  </si>
  <si>
    <t>Snake - W</t>
  </si>
  <si>
    <t>King Dedede - W</t>
  </si>
  <si>
    <r>
      <rPr>
        <b/>
        <sz val="16"/>
        <color rgb="FFC00000"/>
        <rFont val="Cambria (Headings)"/>
      </rPr>
      <t>Melee</t>
    </r>
    <r>
      <rPr>
        <b/>
        <sz val="16"/>
        <color rgb="FFFF7A42"/>
        <rFont val="Cambria (Headings)"/>
      </rPr>
      <t xml:space="preserve"> </t>
    </r>
  </si>
  <si>
    <t>Final Destination</t>
  </si>
  <si>
    <t>Yoshi - W</t>
  </si>
  <si>
    <t>Simon Belmont</t>
  </si>
  <si>
    <t>King K. Rool</t>
  </si>
  <si>
    <t>Chrom</t>
  </si>
  <si>
    <t>W</t>
  </si>
  <si>
    <t>L</t>
  </si>
  <si>
    <t>DK - W</t>
  </si>
  <si>
    <t>DK</t>
  </si>
  <si>
    <t>Toon Link - W</t>
  </si>
  <si>
    <t>Link</t>
  </si>
  <si>
    <t>Melee Fighters</t>
  </si>
  <si>
    <t>Brawl Fighters</t>
  </si>
  <si>
    <t>#1 Contender Brawl</t>
  </si>
  <si>
    <t>Lucario - W</t>
  </si>
  <si>
    <t>Brawl Champion:</t>
  </si>
  <si>
    <t>Human Champion:</t>
  </si>
  <si>
    <t>Hardcore Champion:</t>
  </si>
  <si>
    <t>Fox - W</t>
  </si>
  <si>
    <t>Brawl Champion History</t>
  </si>
  <si>
    <t>Human Champion History</t>
  </si>
  <si>
    <t>Hardcore Champion History</t>
  </si>
  <si>
    <t>Lucas - W</t>
  </si>
  <si>
    <t>Month 2</t>
  </si>
  <si>
    <t>Unified Tag History</t>
  </si>
  <si>
    <t xml:space="preserve">Royal Rumble </t>
  </si>
  <si>
    <t>Rumble Falls</t>
  </si>
  <si>
    <t>Melee Champion History</t>
  </si>
  <si>
    <t>Animal Champion History</t>
  </si>
  <si>
    <t>Melee Champion:</t>
  </si>
  <si>
    <t>Animal Champion</t>
  </si>
  <si>
    <t>Special Champion:</t>
  </si>
  <si>
    <t>Unified Tag Team:</t>
  </si>
  <si>
    <t>Special Champion History</t>
  </si>
  <si>
    <t>Spot in Royal Rumble</t>
  </si>
  <si>
    <t>Ganandorf</t>
  </si>
  <si>
    <t>Mr. Game &amp; Watch - W</t>
  </si>
  <si>
    <t>Captain Falcon - W</t>
  </si>
  <si>
    <t>Luigi - W</t>
  </si>
  <si>
    <t>Lucas + Ness</t>
  </si>
  <si>
    <t>Fox + Falco</t>
  </si>
  <si>
    <t>Pikachu + Sonic</t>
  </si>
  <si>
    <t>Toon Link + Zelda</t>
  </si>
  <si>
    <t>Kirby - W</t>
  </si>
  <si>
    <t>Pit - W</t>
  </si>
  <si>
    <t>Delfino Plaza</t>
  </si>
  <si>
    <t>Spot In Royal Rumble</t>
  </si>
  <si>
    <t>Luigi's Mansion</t>
  </si>
  <si>
    <t>Ice Climbers - W</t>
  </si>
  <si>
    <t>Ness - W</t>
  </si>
  <si>
    <t>Diddy Kong - W</t>
  </si>
  <si>
    <t>Brawl Championship</t>
  </si>
  <si>
    <t>Royal Rumble</t>
  </si>
  <si>
    <t>Melee Championship</t>
  </si>
  <si>
    <t>Hardcore Championship</t>
  </si>
  <si>
    <t>Special Championship</t>
  </si>
  <si>
    <t>Human Championship</t>
  </si>
  <si>
    <t>Unified Tag Team Championship</t>
  </si>
  <si>
    <t>Animal Championship</t>
  </si>
  <si>
    <t>Mushroomy Kingdom</t>
  </si>
  <si>
    <t>Mario Circuit</t>
  </si>
  <si>
    <t>#1 Contender Melee</t>
  </si>
  <si>
    <t>#1 Contender Tag</t>
  </si>
  <si>
    <t>#1 Contender Animal</t>
  </si>
  <si>
    <t>Ike - W</t>
  </si>
  <si>
    <t>#1 Contender Hardcore</t>
  </si>
  <si>
    <t>#1 Contender Human</t>
  </si>
  <si>
    <t>Pikachu - W</t>
  </si>
  <si>
    <t>Link - W</t>
  </si>
  <si>
    <t>Ganondorf - W</t>
  </si>
  <si>
    <t>Samus - W</t>
  </si>
  <si>
    <t>Falco - W</t>
  </si>
  <si>
    <t>#1 Contender Special</t>
  </si>
  <si>
    <t>Zelda - W</t>
  </si>
  <si>
    <t>Coin Match</t>
  </si>
  <si>
    <t>40 % Handicap for Diddy Kong</t>
  </si>
  <si>
    <t>Sonic - W</t>
  </si>
  <si>
    <t>Mario - W</t>
  </si>
  <si>
    <t>Bridge of Eldin</t>
  </si>
  <si>
    <t xml:space="preserve">Pokeslam </t>
  </si>
  <si>
    <t>Pokemon Stadium 2</t>
  </si>
  <si>
    <t>Winner in #1 Contender for Brawl next week</t>
  </si>
  <si>
    <t>Marth - W</t>
  </si>
  <si>
    <t>#1 contender Animal</t>
  </si>
  <si>
    <t>Spot in Pokeball Match</t>
  </si>
  <si>
    <t>Pirate Ship</t>
  </si>
  <si>
    <t>Spot in Pokeball match</t>
  </si>
  <si>
    <t>Norfair</t>
  </si>
  <si>
    <t>Pokeball Match</t>
  </si>
  <si>
    <t>Pokemon Trainer - W</t>
  </si>
  <si>
    <t>Frigate Orpheon</t>
  </si>
  <si>
    <t>Halberd</t>
  </si>
  <si>
    <t>Wolf - W</t>
  </si>
  <si>
    <t>Guest Apperance by Yoshi</t>
  </si>
  <si>
    <t>300 % Mega Metal Brawl</t>
  </si>
  <si>
    <t>Meta Knight - W</t>
  </si>
  <si>
    <t>Went to sudden death</t>
  </si>
  <si>
    <t>Flower Stamina Match</t>
  </si>
  <si>
    <t>10 % Handicap for Diddy Kong</t>
  </si>
  <si>
    <t>175 HP</t>
  </si>
  <si>
    <t>Toon Link with 50% handicap</t>
  </si>
  <si>
    <t>Meta Knight Cashes in MITB</t>
  </si>
  <si>
    <t>Month 3</t>
  </si>
  <si>
    <t>Lylat Cruise</t>
  </si>
  <si>
    <t>Spear Pillar</t>
  </si>
  <si>
    <t>Port Town Aero Drive</t>
  </si>
  <si>
    <t>Castle Siege</t>
  </si>
  <si>
    <t>Smashville</t>
  </si>
  <si>
    <t xml:space="preserve">Brawlmania </t>
  </si>
  <si>
    <t>New Pork City</t>
  </si>
  <si>
    <t>Month 4</t>
  </si>
  <si>
    <t>Month 5</t>
  </si>
  <si>
    <t>Month 6</t>
  </si>
  <si>
    <t>Month 7</t>
  </si>
  <si>
    <t>Month 8</t>
  </si>
  <si>
    <r>
      <t>Melee</t>
    </r>
    <r>
      <rPr>
        <b/>
        <sz val="16"/>
        <color rgb="FFFF7A42"/>
        <rFont val="Cambria (Headings)"/>
      </rPr>
      <t xml:space="preserve"> </t>
    </r>
  </si>
  <si>
    <t>Month 9</t>
  </si>
  <si>
    <t>Month 10</t>
  </si>
  <si>
    <t>Month 11</t>
  </si>
  <si>
    <t>Month 12</t>
  </si>
  <si>
    <t>Spot in Human championship</t>
  </si>
  <si>
    <t>ROB - W</t>
  </si>
  <si>
    <t xml:space="preserve">Smash Bros. Championship </t>
  </si>
  <si>
    <t>Guest apperance by Captain Falcon</t>
  </si>
  <si>
    <t>Special Guest Appearance bu Marth</t>
  </si>
  <si>
    <t xml:space="preserve">Spot in Smash Bros. </t>
  </si>
  <si>
    <t>#1 contender Special</t>
  </si>
  <si>
    <t>Diddy Kong forfeited title</t>
  </si>
  <si>
    <t>If Sonic wins, he is added to Human championship</t>
  </si>
  <si>
    <t>Olimar - W</t>
  </si>
  <si>
    <t>Ike + Pikachu</t>
  </si>
  <si>
    <t>Triple Crown Winners</t>
  </si>
  <si>
    <t>Fox (Year 2 Ignition)</t>
  </si>
  <si>
    <t>Ness (Year 2 Final Destination)</t>
  </si>
  <si>
    <t>Toon Link (Year 3 King of the Hill)</t>
  </si>
  <si>
    <t>Pikachu (Year 4 Great Race)</t>
  </si>
  <si>
    <t>Ike (Year 5 BrawlMania)</t>
  </si>
  <si>
    <t>Toon Link 100% Handicap</t>
  </si>
  <si>
    <t>Distant Planet</t>
  </si>
  <si>
    <t>Summit</t>
  </si>
  <si>
    <t>Skyworld</t>
  </si>
  <si>
    <t>Flat Zone 2</t>
  </si>
  <si>
    <t>Pictochat</t>
  </si>
  <si>
    <t>Hanenbow</t>
  </si>
  <si>
    <t xml:space="preserve">Money In The Bank </t>
  </si>
  <si>
    <t>-</t>
  </si>
  <si>
    <t>Spot in MITB</t>
  </si>
  <si>
    <t>Guest Appearance by Olimar</t>
  </si>
  <si>
    <t>Peach - W</t>
  </si>
  <si>
    <t>#1 contender Melee</t>
  </si>
  <si>
    <t>Special Guest Ice Climbers</t>
  </si>
  <si>
    <t>Guest Appearance by Pit</t>
  </si>
  <si>
    <t>Pikachu 30% Handicap</t>
  </si>
  <si>
    <t>Pit 40% Ike 50% Handicap</t>
  </si>
  <si>
    <t>ROB 30% Handicap</t>
  </si>
  <si>
    <t>Diddy Kong first loss of season</t>
  </si>
  <si>
    <t>Shadow Moses Island</t>
  </si>
  <si>
    <t xml:space="preserve">Ignition </t>
  </si>
  <si>
    <t>Corneria</t>
  </si>
  <si>
    <t>Spot in Hardcore</t>
  </si>
  <si>
    <t>3 Stock Match</t>
  </si>
  <si>
    <t>Green Hill Zone</t>
  </si>
  <si>
    <t>Special Guest Sonic</t>
  </si>
  <si>
    <t>Temple</t>
  </si>
  <si>
    <t>Jungle Japes</t>
  </si>
  <si>
    <t>Onett</t>
  </si>
  <si>
    <t>Good match</t>
  </si>
  <si>
    <t>Ignition Draft</t>
  </si>
  <si>
    <t>Melee</t>
  </si>
  <si>
    <t>Brawl</t>
  </si>
  <si>
    <t>Mini Flower match</t>
  </si>
  <si>
    <t>If mario wins, he is added to animal</t>
  </si>
  <si>
    <t xml:space="preserve"> </t>
  </si>
  <si>
    <t>All fighters died at same time (bomb), Mario wins because he had 2 lives</t>
  </si>
  <si>
    <t>Ike 30% Handicap</t>
  </si>
  <si>
    <t>Mario Cashes in…Luigi 30%, Mario 40%</t>
  </si>
  <si>
    <t>Rainbow Cruise</t>
  </si>
  <si>
    <t>Jigglypuff - W</t>
  </si>
  <si>
    <t xml:space="preserve">Summer Slam </t>
  </si>
  <si>
    <t>Green Greens</t>
  </si>
  <si>
    <t>Special Guest Kirby</t>
  </si>
  <si>
    <t>Purifying Match</t>
  </si>
  <si>
    <t>Sudden Death</t>
  </si>
  <si>
    <t>Big Blue</t>
  </si>
  <si>
    <t>Brinstar</t>
  </si>
  <si>
    <t>Pokemon Stadium</t>
  </si>
  <si>
    <t>Battlefield</t>
  </si>
  <si>
    <t>No purification</t>
  </si>
  <si>
    <t>Special Guest</t>
  </si>
  <si>
    <t>Bowser - W</t>
  </si>
  <si>
    <t>If Wolf wins, added to Human</t>
  </si>
  <si>
    <t>#1 contender special</t>
  </si>
  <si>
    <t>Mega Match</t>
  </si>
  <si>
    <t>Mario has 50% handicap</t>
  </si>
  <si>
    <t>Mega match</t>
  </si>
  <si>
    <t>70% Handicap Pikachu, Ike 6 KOs</t>
  </si>
  <si>
    <t>#16 &amp; #15</t>
  </si>
  <si>
    <t>#14 &amp; #13</t>
  </si>
  <si>
    <t>#12 &amp; #11</t>
  </si>
  <si>
    <t>#10 &amp; #9</t>
  </si>
  <si>
    <t>#8 &amp; #7</t>
  </si>
  <si>
    <t>#2 seed</t>
  </si>
  <si>
    <t>#6 &amp; #5</t>
  </si>
  <si>
    <t>#4 &amp; #3</t>
  </si>
  <si>
    <t>Play In Match</t>
  </si>
  <si>
    <t>1 vs. 16</t>
  </si>
  <si>
    <t>2 vs. 15</t>
  </si>
  <si>
    <t xml:space="preserve">3 vs. 14 </t>
  </si>
  <si>
    <t>4 vs. 13</t>
  </si>
  <si>
    <t>5 vs. 12</t>
  </si>
  <si>
    <t>6 vs. 11</t>
  </si>
  <si>
    <t>7 vs. 10</t>
  </si>
  <si>
    <t>8 vs. 9</t>
  </si>
  <si>
    <t>30% Handicap King Dedede</t>
  </si>
  <si>
    <t>Guest Appearance by Mario</t>
  </si>
  <si>
    <t>Mario has 5 Kos</t>
  </si>
  <si>
    <t>Inkling</t>
  </si>
  <si>
    <t>Bowser Jr.</t>
  </si>
  <si>
    <t xml:space="preserve">Guest Appearance Toon Link </t>
  </si>
  <si>
    <t>1 vs. 9</t>
  </si>
  <si>
    <t>16 vs. 9</t>
  </si>
  <si>
    <t>2 vs. 10</t>
  </si>
  <si>
    <t>2 vs. 7</t>
  </si>
  <si>
    <t>13 vs. 5</t>
  </si>
  <si>
    <t>3 vs. 6</t>
  </si>
  <si>
    <t>1 vs. 5</t>
  </si>
  <si>
    <t>9 vs. 5</t>
  </si>
  <si>
    <t>2 vs. 6</t>
  </si>
  <si>
    <t>7 vs. 6</t>
  </si>
  <si>
    <t>Need to outlaw hammers</t>
  </si>
  <si>
    <t>Low item drop next time</t>
  </si>
  <si>
    <t xml:space="preserve">The Great Race </t>
  </si>
  <si>
    <t>Spot in Brawl</t>
  </si>
  <si>
    <t>Spot in Animal</t>
  </si>
  <si>
    <t>Special Guest Samus</t>
  </si>
  <si>
    <t>Spot in Melee</t>
  </si>
  <si>
    <t>Spot in Special</t>
  </si>
  <si>
    <t>Guest Appearance by Meta Knight</t>
  </si>
  <si>
    <t>Spot in Human</t>
  </si>
  <si>
    <t>Hammer KO with 3 seconds left</t>
  </si>
  <si>
    <t>300% Heavy Match</t>
  </si>
  <si>
    <t>Spot in Special If Mario wins</t>
  </si>
  <si>
    <t>Guest Apperance by Wolf</t>
  </si>
  <si>
    <t>Ike earns spot in Melee after performance</t>
  </si>
  <si>
    <t>30% Handicap</t>
  </si>
  <si>
    <t>Good match, Toon Link had 140%, Kirby had 170%</t>
  </si>
  <si>
    <t>30% Handicap Ike, Mario 50 % Handicap, Great match, all competitiors had 1 live left, Mario got snorlax which killed Luigi and Ike...Mario had 160%, Pit 140%, Pit wins.</t>
  </si>
  <si>
    <t xml:space="preserve">King of the Hill </t>
  </si>
  <si>
    <t>Special Guest by Ness</t>
  </si>
  <si>
    <t>60% Handicap for Mario</t>
  </si>
  <si>
    <t>30% Handicap for Pikachu</t>
  </si>
  <si>
    <t xml:space="preserve">Cyber Sunday </t>
  </si>
  <si>
    <t>Isabelle</t>
  </si>
  <si>
    <t>#1 contender Tag</t>
  </si>
  <si>
    <t>Guest Appearance</t>
  </si>
  <si>
    <t>Good comeback. Saved match</t>
  </si>
  <si>
    <t>Dk - W</t>
  </si>
  <si>
    <r>
      <rPr>
        <b/>
        <sz val="12"/>
        <color rgb="FF000000"/>
        <rFont val="Calibri"/>
        <family val="2"/>
        <scheme val="minor"/>
      </rPr>
      <t>1. Samus</t>
    </r>
    <r>
      <rPr>
        <sz val="12"/>
        <color rgb="FF000000"/>
        <rFont val="Calibri"/>
        <family val="2"/>
        <scheme val="minor"/>
      </rPr>
      <t xml:space="preserve"> 2. Lucas &amp; Ness 3. Bowser</t>
    </r>
  </si>
  <si>
    <r>
      <t xml:space="preserve">1. only projectiles 2. no items </t>
    </r>
    <r>
      <rPr>
        <b/>
        <sz val="12"/>
        <color rgb="FF000000"/>
        <rFont val="Calibri"/>
        <family val="2"/>
        <scheme val="minor"/>
      </rPr>
      <t>3. high items</t>
    </r>
  </si>
  <si>
    <r>
      <rPr>
        <b/>
        <sz val="12"/>
        <color rgb="FF000000"/>
        <rFont val="Calibri"/>
        <family val="2"/>
        <scheme val="minor"/>
      </rPr>
      <t>1. Normal Match</t>
    </r>
    <r>
      <rPr>
        <sz val="12"/>
        <color rgb="FF000000"/>
        <rFont val="Calibri"/>
        <family val="2"/>
        <scheme val="minor"/>
      </rPr>
      <t xml:space="preserve"> 2. Coin Match 3. Special of your choice</t>
    </r>
  </si>
  <si>
    <r>
      <rPr>
        <b/>
        <sz val="12"/>
        <color rgb="FF000000"/>
        <rFont val="Calibri"/>
        <family val="2"/>
        <scheme val="minor"/>
      </rPr>
      <t xml:space="preserve">1. Luigi added in </t>
    </r>
    <r>
      <rPr>
        <sz val="12"/>
        <color rgb="FF000000"/>
        <rFont val="Calibri"/>
        <family val="2"/>
        <scheme val="minor"/>
      </rPr>
      <t>2. 1 stock 3. Regular</t>
    </r>
  </si>
  <si>
    <r>
      <t xml:space="preserve">1. Only Fans 2. Only Bananas </t>
    </r>
    <r>
      <rPr>
        <b/>
        <sz val="12"/>
        <color rgb="FF000000"/>
        <rFont val="Calibri"/>
        <family val="2"/>
        <scheme val="minor"/>
      </rPr>
      <t>3. Only Baseball bats</t>
    </r>
  </si>
  <si>
    <r>
      <t xml:space="preserve">1. Friendly Fire </t>
    </r>
    <r>
      <rPr>
        <b/>
        <sz val="12"/>
        <color rgb="FF000000"/>
        <rFont val="Calibri"/>
        <family val="2"/>
        <scheme val="minor"/>
      </rPr>
      <t xml:space="preserve">2. No Smash Balls </t>
    </r>
    <r>
      <rPr>
        <sz val="12"/>
        <color rgb="FF000000"/>
        <rFont val="Calibri"/>
        <family val="2"/>
        <scheme val="minor"/>
      </rPr>
      <t>3. All items</t>
    </r>
  </si>
  <si>
    <t>Pit 60% Handicap</t>
  </si>
  <si>
    <r>
      <t xml:space="preserve">1. 3 min coin </t>
    </r>
    <r>
      <rPr>
        <b/>
        <sz val="12"/>
        <color rgb="FF000000"/>
        <rFont val="Calibri"/>
        <family val="2"/>
        <scheme val="minor"/>
      </rPr>
      <t>2. 3 min Hardcore</t>
    </r>
    <r>
      <rPr>
        <sz val="12"/>
        <color rgb="FF000000"/>
        <rFont val="Calibri"/>
        <family val="2"/>
        <scheme val="minor"/>
      </rPr>
      <t xml:space="preserve"> 3. Assist trophies only</t>
    </r>
  </si>
  <si>
    <t xml:space="preserve">Championship Cruise </t>
  </si>
  <si>
    <t>Guest Appearance by Yoshi</t>
  </si>
  <si>
    <t>Guest Appearance by Diddy Kong</t>
  </si>
  <si>
    <t>Guest appearance by Falco</t>
  </si>
  <si>
    <t>Guest apperance</t>
  </si>
  <si>
    <t>70% Handicap Pikachu</t>
  </si>
  <si>
    <t>Wolf 140% Handicap</t>
  </si>
  <si>
    <t xml:space="preserve">Championship Scramble </t>
  </si>
  <si>
    <t>Disrespect</t>
  </si>
  <si>
    <t>Risk</t>
  </si>
  <si>
    <t>X5</t>
  </si>
  <si>
    <t>Guest Appearance by Captain Falcon</t>
  </si>
  <si>
    <t>Guest appearance by Pikachu</t>
  </si>
  <si>
    <t>Toon Link, ROB, Sonic, Pikachu, Diddy Kong</t>
  </si>
  <si>
    <t>300% Match</t>
  </si>
  <si>
    <t>Pit, Fox, Yoshi, Mr. Game &amp; Watch, Luigi</t>
  </si>
  <si>
    <t>Samus killed Kirby at buzzer but didn’t count</t>
  </si>
  <si>
    <t xml:space="preserve">Most Improved </t>
  </si>
  <si>
    <t>Most Disappointing</t>
  </si>
  <si>
    <t>Description</t>
  </si>
  <si>
    <t>Held Brawl, Melee (cashed in on), and Hardcore (just won); Won Smash Bros; Won Brawl Tourney; held Brawl for 1 month</t>
  </si>
  <si>
    <t>Royal Rumble winner; held Melee for 4 months (lost at tourney)</t>
  </si>
  <si>
    <t>3x Brawl, came in with Tag and held for four months, held Brawl for 6 months</t>
  </si>
  <si>
    <t>From 16-16</t>
  </si>
  <si>
    <t>From 14-24</t>
  </si>
  <si>
    <t>From 5-21</t>
  </si>
  <si>
    <t>From 14-14</t>
  </si>
  <si>
    <t>From 11-17</t>
  </si>
  <si>
    <t>From 17-9</t>
  </si>
  <si>
    <t>From 19-17</t>
  </si>
  <si>
    <t>From 19-9</t>
  </si>
  <si>
    <t>From 20-10</t>
  </si>
  <si>
    <t>Zelda + Toon Link</t>
  </si>
  <si>
    <t>Came into year and Held 3 months</t>
  </si>
  <si>
    <t>Ike and Pikachu</t>
  </si>
  <si>
    <t>Held for 9 months and finished year</t>
  </si>
  <si>
    <t>ROB vs. Ness</t>
  </si>
  <si>
    <t>Human Championship at Igniton</t>
  </si>
  <si>
    <t>Melee Championship at The Great Race</t>
  </si>
  <si>
    <t>Mario vs. Pit vs. Ike vs. Luigi</t>
  </si>
  <si>
    <t>Special Championship at Championship Scramble</t>
  </si>
  <si>
    <t>Olimar vs. Lucario</t>
  </si>
  <si>
    <t>Brawl Championship at The Great Race</t>
  </si>
  <si>
    <t>Kirby vs. Toon Link vs. Ness</t>
  </si>
  <si>
    <t>Ganondorf vs. Yoshi</t>
  </si>
  <si>
    <t>Melee show at Flatzone 2</t>
  </si>
  <si>
    <t>Champions</t>
  </si>
  <si>
    <t xml:space="preserve">Pit </t>
  </si>
  <si>
    <t>Richter Blemont</t>
  </si>
  <si>
    <t>Ultimate Champion:</t>
  </si>
  <si>
    <t>Monster Champion:</t>
  </si>
  <si>
    <t>MITB Melee:</t>
  </si>
  <si>
    <t>MITB Brawl:</t>
  </si>
  <si>
    <t>MITB Ultimate:</t>
  </si>
  <si>
    <t>Ultimate Champion History</t>
  </si>
  <si>
    <t>Two Major Winner</t>
  </si>
  <si>
    <t>Three Major Winner</t>
  </si>
  <si>
    <t>Monster Champion History</t>
  </si>
  <si>
    <t>2x Melee (came into year with Melee), 1x Animal, Won Melee tournament, held Melee 4 months, held Animal for 5 months</t>
  </si>
  <si>
    <t>Pikachu (M/B)</t>
  </si>
  <si>
    <t>Luigi (M/B)</t>
  </si>
  <si>
    <t>Kirby (M/B)</t>
  </si>
  <si>
    <t>Rank</t>
  </si>
  <si>
    <t>Name</t>
  </si>
  <si>
    <t>Wins</t>
  </si>
  <si>
    <t>Losses</t>
  </si>
  <si>
    <t>Win Percentage</t>
  </si>
  <si>
    <t>Ultimate</t>
  </si>
  <si>
    <t>Brawler of the Year</t>
  </si>
  <si>
    <t>Tag Team of the Year</t>
  </si>
  <si>
    <t>Match of the Year</t>
  </si>
  <si>
    <t>+</t>
  </si>
  <si>
    <r>
      <rPr>
        <b/>
        <sz val="12"/>
        <color theme="1"/>
        <rFont val="Calibri"/>
        <family val="2"/>
        <scheme val="minor"/>
      </rPr>
      <t>Wolf</t>
    </r>
    <r>
      <rPr>
        <sz val="12"/>
        <color theme="1"/>
        <rFont val="Calibri"/>
        <family val="2"/>
        <scheme val="minor"/>
      </rPr>
      <t xml:space="preserve"> vs. Pit vs. Falco</t>
    </r>
  </si>
  <si>
    <r>
      <rPr>
        <b/>
        <sz val="12"/>
        <color theme="1"/>
        <rFont val="Calibri"/>
        <family val="2"/>
        <scheme val="minor"/>
      </rPr>
      <t>Pikachu</t>
    </r>
    <r>
      <rPr>
        <sz val="12"/>
        <color theme="1"/>
        <rFont val="Calibri"/>
        <family val="2"/>
        <scheme val="minor"/>
      </rPr>
      <t xml:space="preserve"> vs. DK</t>
    </r>
  </si>
  <si>
    <r>
      <rPr>
        <b/>
        <sz val="12"/>
        <color theme="1"/>
        <rFont val="Calibri"/>
        <family val="2"/>
        <scheme val="minor"/>
      </rPr>
      <t>Luigi</t>
    </r>
    <r>
      <rPr>
        <sz val="12"/>
        <color theme="1"/>
        <rFont val="Calibri"/>
        <family val="2"/>
        <scheme val="minor"/>
      </rPr>
      <t xml:space="preserve"> vs. Link</t>
    </r>
  </si>
  <si>
    <r>
      <rPr>
        <b/>
        <sz val="12"/>
        <color theme="1"/>
        <rFont val="Calibri"/>
        <family val="2"/>
        <scheme val="minor"/>
      </rPr>
      <t>Samus</t>
    </r>
    <r>
      <rPr>
        <sz val="12"/>
        <color theme="1"/>
        <rFont val="Calibri"/>
        <family val="2"/>
        <scheme val="minor"/>
      </rPr>
      <t xml:space="preserve"> vs. ROB</t>
    </r>
  </si>
  <si>
    <t xml:space="preserve">Match of the Year </t>
  </si>
  <si>
    <r>
      <rPr>
        <sz val="12"/>
        <color theme="1"/>
        <rFont val="Calibri"/>
        <family val="2"/>
        <scheme val="minor"/>
      </rPr>
      <t xml:space="preserve">Mario vs. </t>
    </r>
    <r>
      <rPr>
        <b/>
        <sz val="12"/>
        <color theme="1"/>
        <rFont val="Calibri"/>
        <family val="2"/>
        <scheme val="minor"/>
      </rPr>
      <t>Pit</t>
    </r>
    <r>
      <rPr>
        <sz val="12"/>
        <color theme="1"/>
        <rFont val="Calibri"/>
        <family val="2"/>
        <scheme val="minor"/>
      </rPr>
      <t xml:space="preserve"> vs. Ike vs. Luigi</t>
    </r>
  </si>
  <si>
    <t>1 - Fox</t>
  </si>
  <si>
    <t>3 - Wario</t>
  </si>
  <si>
    <t>4 - DK</t>
  </si>
  <si>
    <t>5 - Lucario</t>
  </si>
  <si>
    <t>6 - Zelda</t>
  </si>
  <si>
    <t>1 - Pikachu</t>
  </si>
  <si>
    <t>2 - Kirby</t>
  </si>
  <si>
    <t>3 - Bowser</t>
  </si>
  <si>
    <t>4 - Captain Falcon</t>
  </si>
  <si>
    <t>5 - Pokemon Trainer</t>
  </si>
  <si>
    <t>6 - Falco</t>
  </si>
  <si>
    <t>Ultimate Fighters</t>
  </si>
  <si>
    <t xml:space="preserve">Ultimate </t>
  </si>
  <si>
    <t>Pokeslam</t>
  </si>
  <si>
    <t>Brawlmania</t>
  </si>
  <si>
    <t>Money in the Bank</t>
  </si>
  <si>
    <t>Ignition</t>
  </si>
  <si>
    <t>Summer Slam</t>
  </si>
  <si>
    <t>Final Destination Tournament</t>
  </si>
  <si>
    <t>The Great Race</t>
  </si>
  <si>
    <t xml:space="preserve">Smash Series </t>
  </si>
  <si>
    <t>Smash Series</t>
  </si>
  <si>
    <t>Championship Cruise</t>
  </si>
  <si>
    <t>Championship Scramble</t>
  </si>
  <si>
    <t>Smash Series Match</t>
  </si>
  <si>
    <t>Smash Bros Championship</t>
  </si>
  <si>
    <t>Most Improved (Breakout)</t>
  </si>
  <si>
    <t>Round 12:</t>
  </si>
  <si>
    <t>Ken</t>
  </si>
  <si>
    <t>Incineroar</t>
  </si>
  <si>
    <t>Boxing Ring</t>
  </si>
  <si>
    <t>King of the Hill</t>
  </si>
  <si>
    <t>Big Battlefield</t>
  </si>
  <si>
    <t>Hyrule Castle</t>
  </si>
  <si>
    <t>Arena Ferox</t>
  </si>
  <si>
    <t>Peach's Castle</t>
  </si>
  <si>
    <t>Kongo Jungle</t>
  </si>
  <si>
    <t>Dreamland</t>
  </si>
  <si>
    <t>Saffron City</t>
  </si>
  <si>
    <t>Mushroom Kingdom</t>
  </si>
  <si>
    <t>Princess Peach's Castle</t>
  </si>
  <si>
    <t>Kongo Falls</t>
  </si>
  <si>
    <t>Great Bay</t>
  </si>
  <si>
    <t>Yoshi's Island (Melee)</t>
  </si>
  <si>
    <t>Yoshi's Story</t>
  </si>
  <si>
    <t>Fountain of Dreams</t>
  </si>
  <si>
    <t>Venom</t>
  </si>
  <si>
    <t>Mushroom Kingdom II</t>
  </si>
  <si>
    <t>Brinstar Depths</t>
  </si>
  <si>
    <t>Fourside</t>
  </si>
  <si>
    <t>Yoshi's Island (Brawl)</t>
  </si>
  <si>
    <t>Mario Bros.</t>
  </si>
  <si>
    <t>3D Land</t>
  </si>
  <si>
    <t>Golden Plains</t>
  </si>
  <si>
    <t>Paper Mario</t>
  </si>
  <si>
    <t>Gerudo Valley</t>
  </si>
  <si>
    <t>Spirit Train</t>
  </si>
  <si>
    <t>Dream Land GB</t>
  </si>
  <si>
    <t>Unova Pokemon League</t>
  </si>
  <si>
    <t>Prism Tower</t>
  </si>
  <si>
    <t>Mute City SNES</t>
  </si>
  <si>
    <t>Magicant</t>
  </si>
  <si>
    <t>Reset Bomb Forest</t>
  </si>
  <si>
    <t>Tortimer Island</t>
  </si>
  <si>
    <t>Balloon Fight</t>
  </si>
  <si>
    <t>Living Room</t>
  </si>
  <si>
    <t>Find Mii</t>
  </si>
  <si>
    <t>Tomodachi Life</t>
  </si>
  <si>
    <t>Pictochat 2</t>
  </si>
  <si>
    <t>Mushroom Kingdom U</t>
  </si>
  <si>
    <t>Mario Galaxy</t>
  </si>
  <si>
    <t>Skyloft</t>
  </si>
  <si>
    <t>Kalos Pokemon League</t>
  </si>
  <si>
    <t>Gamer</t>
  </si>
  <si>
    <t>Garden of Hope</t>
  </si>
  <si>
    <t>Town and City</t>
  </si>
  <si>
    <t>Wii Fit Studio</t>
  </si>
  <si>
    <t>Wrecking Crew</t>
  </si>
  <si>
    <t>Pilotwings</t>
  </si>
  <si>
    <t>Wuhu Island</t>
  </si>
  <si>
    <t>Windy Hill Zone</t>
  </si>
  <si>
    <t>Wily Castle</t>
  </si>
  <si>
    <t>Super Mario Maker</t>
  </si>
  <si>
    <t>Suzaku Castle</t>
  </si>
  <si>
    <t>Midgar</t>
  </si>
  <si>
    <t>Umbra Clock Tower</t>
  </si>
  <si>
    <t>New Donk City Hall</t>
  </si>
  <si>
    <t>Great Plateau Tower</t>
  </si>
  <si>
    <t>Moray Towers</t>
  </si>
  <si>
    <t>Dracula's Castle</t>
  </si>
  <si>
    <t>Monster</t>
  </si>
  <si>
    <t>MGW</t>
  </si>
  <si>
    <t>Ethan's predictions</t>
  </si>
  <si>
    <t>Ian's predicitions</t>
  </si>
  <si>
    <t>Pikachu (9)</t>
  </si>
  <si>
    <t>Samus (7)</t>
  </si>
  <si>
    <t>MGW (8)</t>
  </si>
  <si>
    <t>Mewtwo (8)</t>
  </si>
  <si>
    <t>Falco (6)</t>
  </si>
  <si>
    <t>Yoshi (6)</t>
  </si>
  <si>
    <t>Mario (9)</t>
  </si>
  <si>
    <t>Shulk (5)</t>
  </si>
  <si>
    <t>Greninja (7)</t>
  </si>
  <si>
    <t>Lucas (7)</t>
  </si>
  <si>
    <t>Captain Falcon (6)</t>
  </si>
  <si>
    <t>Mega Man (6)</t>
  </si>
  <si>
    <t>Bowser (7)</t>
  </si>
  <si>
    <t>Peach (2)</t>
  </si>
  <si>
    <t>Daisy (2)</t>
  </si>
  <si>
    <t>Jigglypuff (1)</t>
  </si>
  <si>
    <t>Chrom (8)</t>
  </si>
  <si>
    <t>King Dedede (6)</t>
  </si>
  <si>
    <t>Incineroar (8)</t>
  </si>
  <si>
    <t>Palutena's Temple (Omega)</t>
  </si>
  <si>
    <t>Dark Samus</t>
  </si>
  <si>
    <t>Dark Pit</t>
  </si>
  <si>
    <t>Sheik</t>
  </si>
  <si>
    <t>Ness (8)</t>
  </si>
  <si>
    <t>New Pork City (Battlefield)</t>
  </si>
  <si>
    <t>Chaos</t>
  </si>
  <si>
    <t>Chaos Champion History</t>
  </si>
  <si>
    <t>Snake (6)</t>
  </si>
  <si>
    <t>Pichu (3)</t>
  </si>
  <si>
    <t>MG&amp;W</t>
  </si>
  <si>
    <t>Mr. Game &amp; Watch (M/U)</t>
  </si>
  <si>
    <t>Richter Belmont</t>
  </si>
  <si>
    <t>Richter Belmont - W</t>
  </si>
  <si>
    <t>Ryu - W</t>
  </si>
  <si>
    <t>Ridley - W</t>
  </si>
  <si>
    <t>Lucina - W</t>
  </si>
  <si>
    <t>King K. Rool - W</t>
  </si>
  <si>
    <t>Inkling - W</t>
  </si>
  <si>
    <t>Cloud - W</t>
  </si>
  <si>
    <t>Mega Man - W</t>
  </si>
  <si>
    <t>Shulk - W</t>
  </si>
  <si>
    <t>Chaos Champion:</t>
  </si>
  <si>
    <t>Super Happy Tree</t>
  </si>
  <si>
    <t>#1 contender Monster</t>
  </si>
  <si>
    <t>#1 contender Ultimate</t>
  </si>
  <si>
    <t>#1 contender Chaos</t>
  </si>
  <si>
    <t>Roy - W</t>
  </si>
  <si>
    <t>Robin - W</t>
  </si>
  <si>
    <t>Ultimate Championship</t>
  </si>
  <si>
    <t>Dark Samus - W</t>
  </si>
  <si>
    <t>Isabelle - W</t>
  </si>
  <si>
    <t>Mega Curry Match</t>
  </si>
  <si>
    <t>Monster Championship</t>
  </si>
  <si>
    <t>Tag Team Championship</t>
  </si>
  <si>
    <t>Chaos Championship</t>
  </si>
  <si>
    <t>Greninja - W</t>
  </si>
  <si>
    <t>Incineroar - W</t>
  </si>
  <si>
    <t>Simon Belmont - W</t>
  </si>
  <si>
    <t>Corrin - W</t>
  </si>
  <si>
    <t>3:00 All Items</t>
  </si>
  <si>
    <t>Ike 50% Handicap</t>
  </si>
  <si>
    <t>Pokeball Spot</t>
  </si>
  <si>
    <t>Bowser Jr. - W</t>
  </si>
  <si>
    <t>Dr. Mario - W</t>
  </si>
  <si>
    <t>Spot in Pokeball</t>
  </si>
  <si>
    <t>Tag Team Champiosnhip</t>
  </si>
  <si>
    <t>Mewtwo - W</t>
  </si>
  <si>
    <t>Spot in Chaos</t>
  </si>
  <si>
    <t>Rosalina &amp; Luma - W</t>
  </si>
  <si>
    <t>Wii Fit Trainer - W</t>
  </si>
  <si>
    <t>#1 Contender Ultimate</t>
  </si>
  <si>
    <t>#1 Contender Monster</t>
  </si>
  <si>
    <t>Flower Reflect Match</t>
  </si>
  <si>
    <t>Chrom - W</t>
  </si>
  <si>
    <t>Sheik - W</t>
  </si>
  <si>
    <t>Little Mac - W</t>
  </si>
  <si>
    <t>Young Link - W</t>
  </si>
  <si>
    <t>Dark Pit - W</t>
  </si>
  <si>
    <t>Villager - W</t>
  </si>
  <si>
    <t xml:space="preserve">Diddy Kong </t>
  </si>
  <si>
    <t>#1 Contnder Monster</t>
  </si>
  <si>
    <t>#1 Contender Chaos</t>
  </si>
  <si>
    <t>MITB Ultimate</t>
  </si>
  <si>
    <t>MITB Melee</t>
  </si>
  <si>
    <t>MITB Brawl</t>
  </si>
  <si>
    <t>Palutena - W</t>
  </si>
  <si>
    <t>Tail Match</t>
  </si>
  <si>
    <t>Special Guest Yoshi</t>
  </si>
  <si>
    <t>Snake gets kill with 8 seconds left to go to sudden death (golden hammer)</t>
  </si>
  <si>
    <t>Wario 70%, Pikachu 70%, Kirby 70%, Great Match</t>
  </si>
  <si>
    <t>Battle of the winless</t>
  </si>
  <si>
    <t>Bayonetta - W</t>
  </si>
  <si>
    <t>Daisy - W</t>
  </si>
  <si>
    <t xml:space="preserve">Wario 60%, </t>
  </si>
  <si>
    <t>Kirby 30%</t>
  </si>
  <si>
    <t>Yoshi cashes in</t>
  </si>
  <si>
    <t>Beat the clock for Brawl spot</t>
  </si>
  <si>
    <t>Beat the Clock for Brawl spot</t>
  </si>
  <si>
    <t>Mario 30%</t>
  </si>
  <si>
    <t>Simon got up to 405%</t>
  </si>
  <si>
    <t>Mega Metal Match</t>
  </si>
  <si>
    <t>Great Match</t>
  </si>
  <si>
    <t>Warp star with 10 seconds left for win, won only because he KO'd assist trophy else it would be sudden death</t>
  </si>
  <si>
    <t>1. Daisy</t>
  </si>
  <si>
    <t>2. Falco</t>
  </si>
  <si>
    <t>3. Samus</t>
  </si>
  <si>
    <t>4. Jigglypuff</t>
  </si>
  <si>
    <t>1. Mewtwo</t>
  </si>
  <si>
    <t>2. Lucas</t>
  </si>
  <si>
    <t>3. Yoshi</t>
  </si>
  <si>
    <t>4. Incineroar</t>
  </si>
  <si>
    <t>1. Inkling</t>
  </si>
  <si>
    <t>2. Ike</t>
  </si>
  <si>
    <t>4. Villager</t>
  </si>
  <si>
    <t>5. Ice Climbers</t>
  </si>
  <si>
    <t>6. Link</t>
  </si>
  <si>
    <t>7. Fox</t>
  </si>
  <si>
    <t>8. Palutena</t>
  </si>
  <si>
    <t>5. Little Mac</t>
  </si>
  <si>
    <t>6. Roy</t>
  </si>
  <si>
    <t>7. Dr. Mario</t>
  </si>
  <si>
    <t>8. Young Link</t>
  </si>
  <si>
    <t>5. Ridley</t>
  </si>
  <si>
    <t>6. Corrin</t>
  </si>
  <si>
    <t>7. Dark Samus</t>
  </si>
  <si>
    <t>8. Bayonetta</t>
  </si>
  <si>
    <t>Bowser (M/U)</t>
  </si>
  <si>
    <t>Bunny Match</t>
  </si>
  <si>
    <t>This map should have hazards turned off nex time</t>
  </si>
  <si>
    <t>Kirby comeback from starting 2 lives down to win, got 4 KO's in a row</t>
  </si>
  <si>
    <t>Ness (B/U)</t>
  </si>
  <si>
    <t>#16 seed</t>
  </si>
  <si>
    <t>#15 seed</t>
  </si>
  <si>
    <t>#3 &amp; #4</t>
  </si>
  <si>
    <t>Trade: Diddy Kong (to Melee) for Wario (to Brawl)</t>
  </si>
  <si>
    <t>Pikachu eliminated early</t>
  </si>
  <si>
    <t>Duck Hunt - W</t>
  </si>
  <si>
    <t>5 vs. 13</t>
  </si>
  <si>
    <t>6 vs. 14</t>
  </si>
  <si>
    <t>5 vs. 4</t>
  </si>
  <si>
    <t>6 vs. 7</t>
  </si>
  <si>
    <t>wins brawl first month after trade back to brand</t>
  </si>
  <si>
    <t>ends toon link's undefeated streak</t>
  </si>
  <si>
    <t>Spot in Tag</t>
  </si>
  <si>
    <t>The Great Cave Offensive (Battlefield)</t>
  </si>
  <si>
    <t>KO's own assist trophy for win</t>
  </si>
  <si>
    <t>Spot in Ultimate</t>
  </si>
  <si>
    <t>Spot in Monster</t>
  </si>
  <si>
    <t>Ken - W</t>
  </si>
  <si>
    <t>Ridley added to Animal after beating Animal Champ</t>
  </si>
  <si>
    <t>Kirby Down B to win in sudden death</t>
  </si>
  <si>
    <t>Captain Falcon Down B to win in sudden death</t>
  </si>
  <si>
    <t>60% Handicap King Dedede</t>
  </si>
  <si>
    <t>1x Brawl, came into year with it and held for 4 months, finished year with it, 1x Human, held 2 months and forfeited, held Human and Brawl concurrently until Brawlmania</t>
  </si>
  <si>
    <t>Winner put in #1 contender for Brawl next week</t>
  </si>
  <si>
    <t>#1 contender Brawl</t>
  </si>
  <si>
    <t>Gaur Plain (Battlefield)</t>
  </si>
  <si>
    <t>Great comeback by Marth, 110% while Simon on 2nd life</t>
  </si>
  <si>
    <t>Good match, pk fired Bowser in water where fish ate him for win</t>
  </si>
  <si>
    <t>Spot in Smash Series Match</t>
  </si>
  <si>
    <t>True 0% b/c Little mac falls off cliff 3 times. Sheik does 13% damage</t>
  </si>
  <si>
    <t>Counter to win at 100%</t>
  </si>
  <si>
    <t>Coliseum (Battlefield)</t>
  </si>
  <si>
    <t>Flower Match</t>
  </si>
  <si>
    <t>Great match</t>
  </si>
  <si>
    <t>Marth misses 3 final smashes and gets 3 hammers, good match</t>
  </si>
  <si>
    <t>Brawl got 22 out of 28 items, Toon Link 7 Kos</t>
  </si>
  <si>
    <t>Incneroar - W</t>
  </si>
  <si>
    <t>30% Handicap now instead of 50%</t>
  </si>
  <si>
    <t>Dr.Mario</t>
  </si>
  <si>
    <t>Mr.Game &amp; Watch - W</t>
  </si>
  <si>
    <t>Lucas has 90% handicap</t>
  </si>
  <si>
    <t>Ike has 60% handicap</t>
  </si>
  <si>
    <t>Tail match</t>
  </si>
  <si>
    <t>ROB, Link, Wario, Toon Link, Sonic</t>
  </si>
  <si>
    <t>Cloud, Ganondorf, DK, Luigi, Lucina</t>
  </si>
  <si>
    <t>Captain Falcon requests to be in. Great match. Capt Falcon jumps over car and bicycle kicks Mega man to win</t>
  </si>
  <si>
    <t>King Dedede, Ness, Pikachu,Bowser, Ike</t>
  </si>
  <si>
    <t>defends title from match 1</t>
  </si>
  <si>
    <t>Smash Bros Championship History</t>
  </si>
  <si>
    <t>Superstar of the Year</t>
  </si>
  <si>
    <t>Brawl Superstar of the Year</t>
  </si>
  <si>
    <t>Melee Superstar of the Year</t>
  </si>
  <si>
    <t>Ultimate Superstar of the Year</t>
  </si>
  <si>
    <t>King K. Rool and Mr. Game &amp; Watch</t>
  </si>
  <si>
    <t>Came into the year with it and lost it at Championship Scramble (12 months)</t>
  </si>
  <si>
    <t>Won it at Championship Scramble</t>
  </si>
  <si>
    <t>up from 7-25, one month with Ultimate Championship</t>
  </si>
  <si>
    <t>up from 11-17, two time Chaos, held Chaos for total of 8 months</t>
  </si>
  <si>
    <t>up from 7-23, held Melee twice for a total of 1 month</t>
  </si>
  <si>
    <t>Round 2 redraft selection, picked over ROB, Cloud, Ike, Bowser, etc</t>
  </si>
  <si>
    <t>down from 21-8</t>
  </si>
  <si>
    <t>down from 19-9 (won preseason Ultimate title tourney (CPU ran))</t>
  </si>
  <si>
    <t>Round 3 redraft selection</t>
  </si>
  <si>
    <t>Round 4 redraft selection, picked over Bowseer</t>
  </si>
  <si>
    <r>
      <t>Toon Link/Simon Belmont (</t>
    </r>
    <r>
      <rPr>
        <b/>
        <sz val="12"/>
        <color theme="1"/>
        <rFont val="Calibri"/>
        <family val="2"/>
        <scheme val="minor"/>
      </rPr>
      <t>Brawl</t>
    </r>
    <r>
      <rPr>
        <sz val="12"/>
        <color theme="1"/>
        <rFont val="Calibri"/>
        <family val="2"/>
        <scheme val="minor"/>
      </rPr>
      <t>)</t>
    </r>
  </si>
  <si>
    <t>Smash Series History</t>
  </si>
  <si>
    <t>Came into year with Hardcore, held it for 12 months until Scramble, won MITB for Brawl</t>
  </si>
  <si>
    <t>1x Brawl, held  Brawl for 4 months, won Scramble as first person in (first person since season 3 Kirby to do so)</t>
  </si>
  <si>
    <t>1x Brawl, held Brawl for 6 months, first loss at tournanment, 17 win streak, won Smash Series Tag with Simon</t>
  </si>
  <si>
    <t>1x Melee, held Melee for 7 months, won Tournament, won Royal Rumble, defended against cash in by Lucario</t>
  </si>
  <si>
    <t>1x Animal, held Animal for 8 months, highest win percentage of all superstars this season</t>
  </si>
  <si>
    <t>held Melee twice for a total of 1 month, won Scramble (current Melee champion)</t>
  </si>
  <si>
    <t>1x Ultimate, held Ultimate for 4 months, Ultimate tournament winner, made it to Chmapionship at the Scramble from first match, 1x Monster for one month</t>
  </si>
  <si>
    <t>held Monster and Ultimate each once, Monster for 3 months, Ultimate for two months, 5-0'd Ness (great fighter) at Brawlmania for Monster</t>
  </si>
  <si>
    <t>up from 16-16, 1x Brawl, held  Brawl for 4 months, won Scramble as first person in (first person since season 3 Kirby to do so)</t>
  </si>
  <si>
    <t>Dream Land</t>
  </si>
  <si>
    <t>WarioWare, Inc.</t>
  </si>
  <si>
    <t>Magicant (No Hazards)</t>
  </si>
  <si>
    <t>Mementos</t>
  </si>
  <si>
    <t>Joker</t>
  </si>
  <si>
    <t>Pirahna Plant</t>
  </si>
  <si>
    <t>Joker - W</t>
  </si>
  <si>
    <t>Monster Championnship</t>
  </si>
  <si>
    <t>Absolute beatdown</t>
  </si>
  <si>
    <t>Mr. Game &amp; Watch (Year 6 Championship Scramble)</t>
  </si>
  <si>
    <t>Great Match, Toon Link survives Marth's multiple assist trophies on field</t>
  </si>
  <si>
    <t xml:space="preserve">Lucario </t>
  </si>
  <si>
    <t>Hardcore Match</t>
  </si>
  <si>
    <t>ROB gets pumpkin and heart during 2nd life, still barely wins</t>
  </si>
  <si>
    <t>Human Championhsip</t>
  </si>
  <si>
    <t>Chaos Championhsip</t>
  </si>
  <si>
    <t>Smash Bros. Championship</t>
  </si>
  <si>
    <t>up from 4-26, held Monster and Ultimate each once, Monster for 3 months, Ultimate for two months, 5-0'd Ness (great fighter) at Brawlmania for Monster, beat Ness every time he faced him</t>
  </si>
  <si>
    <t>Rildey - W</t>
  </si>
  <si>
    <t>Chaos Match</t>
  </si>
  <si>
    <t>Domination</t>
  </si>
  <si>
    <t>3/10 Titles defended; most title changes in a month</t>
  </si>
  <si>
    <t>King K. Rool + Mr. Game &amp; Watch</t>
  </si>
  <si>
    <t>Ridley + Dark Samus</t>
  </si>
  <si>
    <t>Roaslina &amp; Luma</t>
  </si>
  <si>
    <t>Great match, 5 KO's a piece, 1 assist trophy KO for Ken so he loses by 1</t>
  </si>
  <si>
    <t>Great match, comeback from Falcon</t>
  </si>
  <si>
    <t>ROYal beatdown</t>
  </si>
  <si>
    <t>Match of the year contender, last stock, 150% to 120% deflects Link's bomb at him and defeats him</t>
  </si>
  <si>
    <t>Cash in Match, held briefcase for 11 months</t>
  </si>
  <si>
    <t>Ness 100% handicap, Luigi 11 KO's</t>
  </si>
  <si>
    <t>#1 contender Human</t>
  </si>
  <si>
    <t>Battle of the Career Winless</t>
  </si>
  <si>
    <t>Pirahna Plant - W</t>
  </si>
  <si>
    <t>Protected Fighters:</t>
  </si>
  <si>
    <t>Brawl Champion</t>
  </si>
  <si>
    <t>Human Champion</t>
  </si>
  <si>
    <t>Hardcore Champion</t>
  </si>
  <si>
    <t>Ultimate Champion</t>
  </si>
  <si>
    <t>Monster Champion</t>
  </si>
  <si>
    <t>Chaos Champion</t>
  </si>
  <si>
    <t>Melee Champion</t>
  </si>
  <si>
    <t>Special Champion</t>
  </si>
  <si>
    <t>Order (Snake Draft)</t>
  </si>
  <si>
    <t>Round 1 Protected</t>
  </si>
  <si>
    <t>Round 1 Draft</t>
  </si>
  <si>
    <t>Round 2 Protected</t>
  </si>
  <si>
    <t>Round 2 Draft</t>
  </si>
  <si>
    <t>Round 3 Protected</t>
  </si>
  <si>
    <t>Round 3 Draft</t>
  </si>
  <si>
    <t>Round 4 Protected</t>
  </si>
  <si>
    <t>Round 4 Draft</t>
  </si>
  <si>
    <t>Round 5 Protected</t>
  </si>
  <si>
    <t>Round 5 Draft</t>
  </si>
  <si>
    <t>Round 6 Protected</t>
  </si>
  <si>
    <t>Round 6 Draft</t>
  </si>
  <si>
    <t>Round 7 Protected</t>
  </si>
  <si>
    <t>Round 7 Draft</t>
  </si>
  <si>
    <t>Round 8 Protected</t>
  </si>
  <si>
    <t>Round 8 Draft</t>
  </si>
  <si>
    <t>300% match</t>
  </si>
  <si>
    <t>Purification Match</t>
  </si>
  <si>
    <t>Failed</t>
  </si>
  <si>
    <t>Winners make Triple Threat at SS</t>
  </si>
  <si>
    <t>Match of the year candidate, crazy comeback</t>
  </si>
  <si>
    <t>0% Match</t>
  </si>
  <si>
    <t>1 vs. 8</t>
  </si>
  <si>
    <t>4 vs. 5</t>
  </si>
  <si>
    <t>2 vs. 3</t>
  </si>
  <si>
    <t>1 vs. 4</t>
  </si>
  <si>
    <t>3 vs. 7</t>
  </si>
  <si>
    <t>5 vs. 9</t>
  </si>
  <si>
    <t>Crazy finish, King dedede suicide spike for win</t>
  </si>
  <si>
    <t>Lucas (Year 7 Final Destination)</t>
  </si>
  <si>
    <t>Erdrick</t>
  </si>
  <si>
    <t xml:space="preserve">TRADE ALERT: </t>
  </si>
  <si>
    <t>Ultimate trades Dr. Mario &amp; Captain Falcon to Brawl for Erdrick &amp; Ken</t>
  </si>
  <si>
    <t>Erdrick Joins Smash Bros.</t>
  </si>
  <si>
    <t>Yggdrasil's Altar</t>
  </si>
  <si>
    <t>Erdrick - W</t>
  </si>
  <si>
    <t>Richter 90% handicap</t>
  </si>
  <si>
    <t>Horrible Match</t>
  </si>
  <si>
    <t>Dedede 7 KO's</t>
  </si>
  <si>
    <t>Shulk Cashes In // Dedede 50%</t>
  </si>
  <si>
    <t>Richet Belmont</t>
  </si>
  <si>
    <t>Purification/Darkening Match</t>
  </si>
  <si>
    <t>Link is purified. First time since season 1</t>
  </si>
  <si>
    <t>Ridley 60% Handicap</t>
  </si>
  <si>
    <t>Spot in Smash Series</t>
  </si>
  <si>
    <t>Great comeback</t>
  </si>
  <si>
    <t>Melee combined 11 KO's // Ganondorf with 8 KO's, Ness 2nd with 3 KO's</t>
  </si>
  <si>
    <r>
      <t>Ness/Ganondorf (</t>
    </r>
    <r>
      <rPr>
        <b/>
        <sz val="12"/>
        <color theme="1"/>
        <rFont val="Calibri"/>
        <family val="2"/>
        <scheme val="minor"/>
      </rPr>
      <t>Melee</t>
    </r>
    <r>
      <rPr>
        <sz val="12"/>
        <color theme="1"/>
        <rFont val="Calibri"/>
        <family val="2"/>
        <scheme val="minor"/>
      </rPr>
      <t>)</t>
    </r>
  </si>
  <si>
    <t>Palutena's Temple</t>
  </si>
  <si>
    <t xml:space="preserve">The Great Cave Offensive </t>
  </si>
  <si>
    <t xml:space="preserve">New Pork City </t>
  </si>
  <si>
    <t xml:space="preserve">Coliseum </t>
  </si>
  <si>
    <t xml:space="preserve">Gaur Plain </t>
  </si>
  <si>
    <t>75m</t>
  </si>
  <si>
    <t>Loser goes to MITB</t>
  </si>
  <si>
    <t>Pikachu (PL)</t>
  </si>
  <si>
    <t>ROB (PL)</t>
  </si>
  <si>
    <t>Sonic (PL)</t>
  </si>
  <si>
    <t>Yoshi (PL)</t>
  </si>
  <si>
    <t>Mr. Game &amp; Watch - W (PL)</t>
  </si>
  <si>
    <t>Mr. Game &amp; Watch (PL)</t>
  </si>
  <si>
    <t>Ness - W (PL)</t>
  </si>
  <si>
    <t>Ness (PL)</t>
  </si>
  <si>
    <t>DK (PL)</t>
  </si>
  <si>
    <t>Luigi (PL)</t>
  </si>
  <si>
    <t>#1 contender tag</t>
  </si>
  <si>
    <t>Ganondorf added into special ship match</t>
  </si>
  <si>
    <t>Marth cashes in MITB, 50% handicap for Toon Link</t>
  </si>
  <si>
    <t>Spot in Smash Bros.</t>
  </si>
  <si>
    <t>5 vs. 2 - Melee Championship</t>
  </si>
  <si>
    <t>5 vs. 6 - Brawl Championship</t>
  </si>
  <si>
    <t>1 vs. 1 - Brawl Scramble</t>
  </si>
  <si>
    <t>1 vs. 2</t>
  </si>
  <si>
    <t>2 vs. 3 - Pikachu 10% Handicap</t>
  </si>
  <si>
    <t>3 vs. 4 - Brawl Championship</t>
  </si>
  <si>
    <t>1 vs. 1 - Melee Scramble</t>
  </si>
  <si>
    <t>1 vs. 3</t>
  </si>
  <si>
    <t>3 vs. 4 - Melee Championship</t>
  </si>
  <si>
    <t>Spot in Smash Bros./Ultimate</t>
  </si>
  <si>
    <t>2 vs. 5 - Brawl Championship</t>
  </si>
  <si>
    <t>1 vs. 7 - Melee Championship</t>
  </si>
  <si>
    <t>3 vs. 9 - Ultimate Championship</t>
  </si>
  <si>
    <t>1 vs. 1 - Ultimate Scramble</t>
  </si>
  <si>
    <t>1 vs. 2 - Ike and Pikachu 60% Handicap</t>
  </si>
  <si>
    <t>1 vs. 3 - no damage by Ike</t>
  </si>
  <si>
    <t>1 vs. 4 - Ultimate Championship</t>
  </si>
  <si>
    <t>1 vs. 3 - no damage by toon link</t>
  </si>
  <si>
    <t>1 vs. 4 -Brawl Championship</t>
  </si>
  <si>
    <t>2 vs. 4 - Melee Championship</t>
  </si>
  <si>
    <t xml:space="preserve">Lucario cashes in...Lucario deals 19% damage </t>
  </si>
  <si>
    <t>was at 113% with Waluigi out helping MK</t>
  </si>
  <si>
    <t>Pit - W (PL) (Defending)</t>
  </si>
  <si>
    <t>Toon Link - W (Defending)</t>
  </si>
  <si>
    <t>Toon Link (PL) (Defending)</t>
  </si>
  <si>
    <t>Toon Link (Defending)</t>
  </si>
  <si>
    <t>Luigi - W (Defending)</t>
  </si>
  <si>
    <t>Luigi (Defending)</t>
  </si>
  <si>
    <t>Cloud - W (PL) (Defending)</t>
  </si>
  <si>
    <t>Cloud (PL) (Defending)</t>
  </si>
  <si>
    <t>Cloud - W (Defending)</t>
  </si>
  <si>
    <t>ROB - W (PL) (Defending)</t>
  </si>
  <si>
    <t>King Dedede - W (Defending)</t>
  </si>
  <si>
    <t>Ness - W (Defending)</t>
  </si>
  <si>
    <t>Ganondorf - W (Defending)</t>
  </si>
  <si>
    <t>Ganondorf (Defending)</t>
  </si>
  <si>
    <t>Mario - W (Defending)</t>
  </si>
  <si>
    <t>Mario (Defending)</t>
  </si>
  <si>
    <t>Kirby (Defending)</t>
  </si>
  <si>
    <t>Kirby - W (Defending)</t>
  </si>
  <si>
    <t>2 - Ice Climbers</t>
  </si>
  <si>
    <t>Guest appearance by DK</t>
  </si>
  <si>
    <t>3 vs. 11</t>
  </si>
  <si>
    <t>10 vs. 11</t>
  </si>
  <si>
    <t>1 vs. 11 - Melee Championship</t>
  </si>
  <si>
    <t>3 vs. 10</t>
  </si>
  <si>
    <t>1 vs. 10 - Ultimate Championship</t>
  </si>
  <si>
    <t>MGW comeback from 3 -1 to save season</t>
  </si>
  <si>
    <t>Every match was a 3 -0</t>
  </si>
  <si>
    <t>Figure -8 Circuit</t>
  </si>
  <si>
    <t>Both TT Champs 3 -0'd in their matches this month</t>
  </si>
  <si>
    <t>Shulk comeback from down 3 -1 to win</t>
  </si>
  <si>
    <t>Rematch from Brawlmania (5 -0 win for Dedede)</t>
  </si>
  <si>
    <t>3 -1 Comeback</t>
  </si>
  <si>
    <t>amazing comeback down 3 -1 110%</t>
  </si>
  <si>
    <t>Kirby down 3 -1, great comeback</t>
  </si>
  <si>
    <t>Cashes In: Yoshi // Lucas 50% // Yoshi loses two cash -ins in a row</t>
  </si>
  <si>
    <t>Coin Match (1st time champion has lost at Championship Cruise)</t>
  </si>
  <si>
    <t>Good comeback to stay undefeated (Down 3 - 1)</t>
  </si>
  <si>
    <t>Great match, good comeback by Luigi down 2 - 1</t>
  </si>
  <si>
    <t>300% Match // comeback from 3 - 1</t>
  </si>
  <si>
    <t>MoTY candidate: ROB down 2 - 1(109%), gets 2 finishers then a bazooka for the win)</t>
  </si>
  <si>
    <t>Handicap Match</t>
  </si>
  <si>
    <t>Pit - W (Defending)</t>
  </si>
  <si>
    <t>Pac-Man - W</t>
  </si>
  <si>
    <t>PAC-LAND</t>
  </si>
  <si>
    <t>3. Pac-Man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</si>
</sst>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Impact"/>
      <family val="2"/>
    </font>
    <font>
      <sz val="20"/>
      <color theme="1"/>
      <name val="Impact"/>
      <family val="2"/>
    </font>
    <font>
      <b/>
      <sz val="16"/>
      <color rgb="FFFF7A42"/>
      <name val="Cambria (Headings)"/>
    </font>
    <font>
      <b/>
      <sz val="16"/>
      <color rgb="FFC00000"/>
      <name val="Cambria (Headings)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6"/>
      <color theme="3" tint="-0.499984740745262"/>
      <name val="Cambria (Headings)"/>
    </font>
    <font>
      <sz val="20"/>
      <color rgb="FF000000"/>
      <name val="Impact"/>
      <family val="2"/>
    </font>
    <font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F243E"/>
      <name val="Cambria (Headings)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mbria (Headings)"/>
    </font>
    <font>
      <sz val="16"/>
      <color rgb="FF000000"/>
      <name val="Calibri"/>
      <family val="2"/>
      <scheme val="minor"/>
    </font>
    <font>
      <b/>
      <sz val="16"/>
      <color rgb="FF000000"/>
      <name val="Cambria (Headings)"/>
    </font>
    <font>
      <sz val="12"/>
      <color rgb="FF0F243E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222222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8" fillId="4" borderId="2" xfId="0" applyFont="1" applyFill="1" applyBorder="1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/>
    <xf numFmtId="0" fontId="8" fillId="5" borderId="2" xfId="0" applyFont="1" applyFill="1" applyBorder="1" applyAlignment="1">
      <alignment horizontal="right"/>
    </xf>
    <xf numFmtId="0" fontId="0" fillId="5" borderId="0" xfId="0" applyFill="1" applyAlignment="1">
      <alignment horizontal="center"/>
    </xf>
    <xf numFmtId="0" fontId="10" fillId="2" borderId="2" xfId="5" applyBorder="1"/>
    <xf numFmtId="0" fontId="11" fillId="3" borderId="3" xfId="6" applyBorder="1"/>
    <xf numFmtId="0" fontId="10" fillId="2" borderId="0" xfId="5" applyAlignment="1">
      <alignment horizontal="center" vertical="center"/>
    </xf>
    <xf numFmtId="0" fontId="11" fillId="3" borderId="0" xfId="6" applyAlignment="1">
      <alignment horizontal="center" vertical="center"/>
    </xf>
    <xf numFmtId="0" fontId="0" fillId="0" borderId="2" xfId="0" applyBorder="1"/>
    <xf numFmtId="0" fontId="0" fillId="6" borderId="0" xfId="0" applyFill="1"/>
    <xf numFmtId="0" fontId="0" fillId="6" borderId="0" xfId="0" applyFill="1" applyAlignment="1">
      <alignment horizontal="center"/>
    </xf>
    <xf numFmtId="0" fontId="12" fillId="6" borderId="2" xfId="0" applyFont="1" applyFill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4" borderId="6" xfId="0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6" borderId="6" xfId="0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7" borderId="0" xfId="0" applyFont="1" applyFill="1"/>
    <xf numFmtId="0" fontId="8" fillId="7" borderId="2" xfId="0" applyFont="1" applyFill="1" applyBorder="1" applyAlignment="1">
      <alignment horizontal="right"/>
    </xf>
    <xf numFmtId="0" fontId="15" fillId="7" borderId="2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4" fillId="8" borderId="0" xfId="0" applyFont="1" applyFill="1"/>
    <xf numFmtId="0" fontId="9" fillId="8" borderId="2" xfId="0" applyFont="1" applyFill="1" applyBorder="1" applyAlignment="1">
      <alignment horizontal="right"/>
    </xf>
    <xf numFmtId="0" fontId="15" fillId="8" borderId="2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14" fillId="9" borderId="0" xfId="0" applyFont="1" applyFill="1"/>
    <xf numFmtId="0" fontId="16" fillId="9" borderId="2" xfId="0" applyFont="1" applyFill="1" applyBorder="1" applyAlignment="1">
      <alignment horizontal="right"/>
    </xf>
    <xf numFmtId="0" fontId="15" fillId="9" borderId="2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14" fillId="9" borderId="0" xfId="0" applyFont="1" applyFill="1" applyAlignment="1">
      <alignment horizontal="left"/>
    </xf>
    <xf numFmtId="0" fontId="0" fillId="5" borderId="7" xfId="0" applyFill="1" applyBorder="1" applyAlignment="1">
      <alignment horizontal="center"/>
    </xf>
    <xf numFmtId="0" fontId="0" fillId="6" borderId="0" xfId="0" applyFill="1" applyAlignment="1">
      <alignment horizontal="left" indent="1"/>
    </xf>
    <xf numFmtId="0" fontId="0" fillId="10" borderId="0" xfId="0" applyFill="1"/>
    <xf numFmtId="0" fontId="11" fillId="3" borderId="0" xfId="6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 vertical="center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14" fillId="7" borderId="0" xfId="0" quotePrefix="1" applyFont="1" applyFill="1" applyAlignment="1">
      <alignment horizontal="center"/>
    </xf>
    <xf numFmtId="0" fontId="14" fillId="6" borderId="0" xfId="0" applyFont="1" applyFill="1"/>
    <xf numFmtId="0" fontId="14" fillId="6" borderId="0" xfId="0" applyFont="1" applyFill="1" applyAlignment="1">
      <alignment horizontal="center"/>
    </xf>
    <xf numFmtId="0" fontId="0" fillId="0" borderId="0" xfId="0" applyAlignment="1">
      <alignment wrapText="1"/>
    </xf>
    <xf numFmtId="0" fontId="14" fillId="0" borderId="1" xfId="0" applyFont="1" applyBorder="1"/>
    <xf numFmtId="0" fontId="10" fillId="2" borderId="0" xfId="5"/>
    <xf numFmtId="0" fontId="11" fillId="3" borderId="0" xfId="6"/>
    <xf numFmtId="0" fontId="10" fillId="2" borderId="0" xfId="5" applyAlignment="1">
      <alignment horizontal="center"/>
    </xf>
    <xf numFmtId="0" fontId="14" fillId="8" borderId="6" xfId="0" applyFont="1" applyFill="1" applyBorder="1" applyAlignment="1">
      <alignment horizontal="center"/>
    </xf>
    <xf numFmtId="0" fontId="0" fillId="0" borderId="8" xfId="0" applyBorder="1"/>
    <xf numFmtId="9" fontId="14" fillId="9" borderId="0" xfId="0" applyNumberFormat="1" applyFont="1" applyFill="1" applyAlignment="1">
      <alignment horizontal="center"/>
    </xf>
    <xf numFmtId="0" fontId="19" fillId="0" borderId="0" xfId="0" applyFont="1"/>
    <xf numFmtId="0" fontId="17" fillId="11" borderId="0" xfId="0" applyFont="1" applyFill="1"/>
    <xf numFmtId="0" fontId="20" fillId="0" borderId="0" xfId="0" applyFont="1"/>
    <xf numFmtId="0" fontId="2" fillId="0" borderId="0" xfId="0" applyFont="1"/>
    <xf numFmtId="0" fontId="17" fillId="0" borderId="1" xfId="0" applyFont="1" applyBorder="1"/>
    <xf numFmtId="0" fontId="17" fillId="0" borderId="0" xfId="0" applyFont="1"/>
    <xf numFmtId="10" fontId="0" fillId="0" borderId="0" xfId="0" applyNumberFormat="1"/>
    <xf numFmtId="0" fontId="21" fillId="12" borderId="9" xfId="0" applyFont="1" applyFill="1" applyBorder="1"/>
    <xf numFmtId="0" fontId="17" fillId="0" borderId="0" xfId="0" applyFont="1" applyAlignment="1">
      <alignment horizontal="right"/>
    </xf>
    <xf numFmtId="0" fontId="24" fillId="7" borderId="2" xfId="0" applyFont="1" applyFill="1" applyBorder="1" applyAlignment="1">
      <alignment horizontal="center"/>
    </xf>
    <xf numFmtId="0" fontId="24" fillId="8" borderId="2" xfId="0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22" fillId="6" borderId="2" xfId="0" applyFont="1" applyFill="1" applyBorder="1" applyAlignment="1">
      <alignment horizontal="center"/>
    </xf>
    <xf numFmtId="0" fontId="0" fillId="10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16" fillId="9" borderId="0" xfId="0" applyFont="1" applyFill="1" applyAlignment="1">
      <alignment horizontal="right"/>
    </xf>
    <xf numFmtId="0" fontId="26" fillId="9" borderId="0" xfId="0" applyFont="1" applyFill="1" applyAlignment="1">
      <alignment horizontal="right"/>
    </xf>
    <xf numFmtId="0" fontId="0" fillId="13" borderId="0" xfId="0" applyFill="1"/>
    <xf numFmtId="0" fontId="23" fillId="13" borderId="2" xfId="0" applyFont="1" applyFill="1" applyBorder="1" applyAlignment="1">
      <alignment horizontal="right"/>
    </xf>
    <xf numFmtId="0" fontId="0" fillId="13" borderId="0" xfId="0" applyFill="1" applyAlignment="1">
      <alignment horizontal="center"/>
    </xf>
    <xf numFmtId="0" fontId="14" fillId="14" borderId="0" xfId="0" applyFont="1" applyFill="1"/>
    <xf numFmtId="0" fontId="25" fillId="14" borderId="2" xfId="0" applyFont="1" applyFill="1" applyBorder="1" applyAlignment="1">
      <alignment horizontal="right"/>
    </xf>
    <xf numFmtId="0" fontId="24" fillId="14" borderId="2" xfId="0" applyFont="1" applyFill="1" applyBorder="1" applyAlignment="1">
      <alignment horizontal="center"/>
    </xf>
    <xf numFmtId="0" fontId="14" fillId="14" borderId="0" xfId="0" applyFon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left"/>
    </xf>
    <xf numFmtId="0" fontId="0" fillId="15" borderId="2" xfId="0" applyFill="1" applyBorder="1"/>
    <xf numFmtId="0" fontId="0" fillId="15" borderId="2" xfId="0" applyFill="1" applyBorder="1" applyAlignment="1">
      <alignment horizontal="center"/>
    </xf>
    <xf numFmtId="0" fontId="24" fillId="9" borderId="2" xfId="0" applyFont="1" applyFill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/>
    </xf>
    <xf numFmtId="0" fontId="22" fillId="13" borderId="2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3" xfId="0" applyBorder="1"/>
    <xf numFmtId="0" fontId="0" fillId="0" borderId="3" xfId="0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27" fillId="16" borderId="1" xfId="0" applyFont="1" applyFill="1" applyBorder="1"/>
    <xf numFmtId="0" fontId="27" fillId="17" borderId="1" xfId="0" applyFont="1" applyFill="1" applyBorder="1"/>
    <xf numFmtId="0" fontId="12" fillId="0" borderId="0" xfId="0" applyFont="1" applyAlignment="1">
      <alignment horizontal="left"/>
    </xf>
    <xf numFmtId="0" fontId="12" fillId="0" borderId="0" xfId="0" quotePrefix="1" applyFont="1" applyAlignment="1">
      <alignment horizontal="left"/>
    </xf>
    <xf numFmtId="0" fontId="22" fillId="18" borderId="1" xfId="0" applyFont="1" applyFill="1" applyBorder="1"/>
    <xf numFmtId="0" fontId="22" fillId="19" borderId="1" xfId="0" applyFont="1" applyFill="1" applyBorder="1"/>
    <xf numFmtId="0" fontId="22" fillId="20" borderId="1" xfId="0" applyFont="1" applyFill="1" applyBorder="1"/>
    <xf numFmtId="0" fontId="0" fillId="13" borderId="6" xfId="0" applyFill="1" applyBorder="1" applyAlignment="1">
      <alignment horizontal="center"/>
    </xf>
    <xf numFmtId="20" fontId="0" fillId="5" borderId="0" xfId="0" applyNumberFormat="1" applyFill="1"/>
    <xf numFmtId="0" fontId="0" fillId="6" borderId="0" xfId="0" applyFill="1" applyAlignment="1">
      <alignment wrapText="1"/>
    </xf>
    <xf numFmtId="0" fontId="14" fillId="0" borderId="0" xfId="0" applyFont="1" applyAlignment="1">
      <alignment horizontal="left"/>
    </xf>
    <xf numFmtId="9" fontId="0" fillId="6" borderId="0" xfId="0" applyNumberFormat="1" applyFill="1" applyAlignment="1">
      <alignment horizontal="left"/>
    </xf>
    <xf numFmtId="9" fontId="0" fillId="10" borderId="0" xfId="0" applyNumberFormat="1" applyFill="1" applyAlignment="1">
      <alignment horizontal="left"/>
    </xf>
    <xf numFmtId="0" fontId="1" fillId="13" borderId="2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9" fontId="14" fillId="9" borderId="6" xfId="0" applyNumberFormat="1" applyFont="1" applyFill="1" applyBorder="1" applyAlignment="1">
      <alignment horizontal="center"/>
    </xf>
    <xf numFmtId="9" fontId="0" fillId="6" borderId="0" xfId="0" applyNumberFormat="1" applyFill="1" applyAlignment="1">
      <alignment horizontal="center"/>
    </xf>
    <xf numFmtId="0" fontId="0" fillId="11" borderId="0" xfId="0" applyFill="1"/>
    <xf numFmtId="0" fontId="15" fillId="14" borderId="2" xfId="0" applyFont="1" applyFill="1" applyBorder="1" applyAlignment="1">
      <alignment horizontal="center"/>
    </xf>
    <xf numFmtId="0" fontId="17" fillId="4" borderId="0" xfId="0" applyFont="1" applyFill="1"/>
    <xf numFmtId="0" fontId="28" fillId="0" borderId="0" xfId="0" applyFont="1"/>
    <xf numFmtId="0" fontId="0" fillId="24" borderId="18" xfId="0" applyFill="1" applyBorder="1"/>
    <xf numFmtId="0" fontId="0" fillId="0" borderId="17" xfId="0" applyBorder="1"/>
    <xf numFmtId="0" fontId="0" fillId="21" borderId="18" xfId="0" applyFill="1" applyBorder="1"/>
    <xf numFmtId="0" fontId="0" fillId="22" borderId="16" xfId="0" applyFill="1" applyBorder="1"/>
    <xf numFmtId="0" fontId="0" fillId="23" borderId="17" xfId="0" applyFill="1" applyBorder="1"/>
    <xf numFmtId="0" fontId="0" fillId="0" borderId="16" xfId="0" applyBorder="1"/>
    <xf numFmtId="0" fontId="0" fillId="21" borderId="19" xfId="0" applyFill="1" applyBorder="1"/>
    <xf numFmtId="0" fontId="14" fillId="0" borderId="6" xfId="0" applyFont="1" applyBorder="1"/>
    <xf numFmtId="0" fontId="0" fillId="25" borderId="6" xfId="0" applyFill="1" applyBorder="1"/>
    <xf numFmtId="0" fontId="0" fillId="25" borderId="0" xfId="0" applyFill="1"/>
    <xf numFmtId="0" fontId="0" fillId="25" borderId="10" xfId="0" applyFill="1" applyBorder="1"/>
    <xf numFmtId="0" fontId="14" fillId="25" borderId="6" xfId="0" applyFont="1" applyFill="1" applyBorder="1"/>
    <xf numFmtId="0" fontId="0" fillId="0" borderId="0" xfId="0" applyAlignment="1">
      <alignment horizontal="left"/>
    </xf>
    <xf numFmtId="0" fontId="0" fillId="10" borderId="0" xfId="0" applyFill="1" applyBorder="1"/>
    <xf numFmtId="0" fontId="0" fillId="10" borderId="0" xfId="0" applyFill="1" applyBorder="1" applyAlignment="1">
      <alignment horizontal="center"/>
    </xf>
  </cellXfs>
  <cellStyles count="19">
    <cellStyle name="Bad" xfId="6" builtinId="27"/>
    <cellStyle name="Followed Hyperlink" xfId="2" builtinId="9" hidden="1"/>
    <cellStyle name="Followed Hyperlink" xfId="4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5" builtinId="26"/>
    <cellStyle name="Hyperlink" xfId="1" builtinId="8" hidden="1"/>
    <cellStyle name="Hyperlink" xfId="3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56"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0" formatCode="General"/>
      <alignment horizontal="center" textRotation="0" wrapText="0" indent="0" justifyLastLine="0" shrinkToFit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/>
    </dxf>
    <dxf>
      <numFmt numFmtId="14" formatCode="0.00%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rgb="FF875959"/>
          <bgColor rgb="FF875959"/>
        </patternFill>
      </fill>
    </dxf>
    <dxf>
      <font>
        <color theme="1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</dxfs>
  <tableStyles count="1" defaultTableStyle="TableStyleMedium9" defaultPivotStyle="PivotStyleMedium4">
    <tableStyle name="TableStyleMedium3 2" pivot="0" count="6" xr9:uid="{F2028E2B-2359-6944-81DC-4B940A8143DA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firstRowStripe" dxfId="50"/>
    </tableStyle>
  </tableStyles>
  <colors>
    <mruColors>
      <color rgb="FF875959"/>
      <color rgb="FFFF7A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749300</xdr:colOff>
      <xdr:row>4</xdr:row>
      <xdr:rowOff>194013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3100" cy="1006813"/>
        </a:xfrm>
        <a:prstGeom prst="rect">
          <a:avLst/>
        </a:prstGeom>
      </xdr:spPr>
    </xdr:pic>
    <xdr:clientData/>
  </xdr:twoCellAnchor>
  <xdr:twoCellAnchor editAs="oneCell">
    <xdr:from>
      <xdr:col>2</xdr:col>
      <xdr:colOff>406400</xdr:colOff>
      <xdr:row>0</xdr:row>
      <xdr:rowOff>0</xdr:rowOff>
    </xdr:from>
    <xdr:to>
      <xdr:col>4</xdr:col>
      <xdr:colOff>444500</xdr:colOff>
      <xdr:row>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6500" y="0"/>
          <a:ext cx="2336800" cy="1041400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0</xdr:row>
      <xdr:rowOff>0</xdr:rowOff>
    </xdr:from>
    <xdr:to>
      <xdr:col>7</xdr:col>
      <xdr:colOff>326592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8800" y="0"/>
          <a:ext cx="2256992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127000</xdr:rowOff>
    </xdr:from>
    <xdr:to>
      <xdr:col>3</xdr:col>
      <xdr:colOff>2273300</xdr:colOff>
      <xdr:row>4</xdr:row>
      <xdr:rowOff>142240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127000"/>
          <a:ext cx="2260600" cy="108204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0</xdr:row>
      <xdr:rowOff>203201</xdr:rowOff>
    </xdr:from>
    <xdr:to>
      <xdr:col>1</xdr:col>
      <xdr:colOff>2146300</xdr:colOff>
      <xdr:row>4</xdr:row>
      <xdr:rowOff>189277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6800" y="203201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4</xdr:col>
      <xdr:colOff>2297228</xdr:colOff>
      <xdr:row>0</xdr:row>
      <xdr:rowOff>12700</xdr:rowOff>
    </xdr:from>
    <xdr:to>
      <xdr:col>5</xdr:col>
      <xdr:colOff>2255520</xdr:colOff>
      <xdr:row>5</xdr:row>
      <xdr:rowOff>111760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5828" y="12700"/>
          <a:ext cx="2256992" cy="1381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673100</xdr:colOff>
      <xdr:row>1</xdr:row>
      <xdr:rowOff>12700</xdr:rowOff>
    </xdr:from>
    <xdr:to>
      <xdr:col>3</xdr:col>
      <xdr:colOff>1651000</xdr:colOff>
      <xdr:row>6</xdr:row>
      <xdr:rowOff>49576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21590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254000</xdr:colOff>
      <xdr:row>0</xdr:row>
      <xdr:rowOff>88900</xdr:rowOff>
    </xdr:from>
    <xdr:to>
      <xdr:col>10</xdr:col>
      <xdr:colOff>101600</xdr:colOff>
      <xdr:row>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8100" y="88900"/>
          <a:ext cx="2336800" cy="1041400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0</xdr:row>
      <xdr:rowOff>0</xdr:rowOff>
    </xdr:from>
    <xdr:to>
      <xdr:col>17</xdr:col>
      <xdr:colOff>47192</xdr:colOff>
      <xdr:row>5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1700" y="0"/>
          <a:ext cx="2256992" cy="1155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317500</xdr:colOff>
      <xdr:row>26</xdr:row>
      <xdr:rowOff>139700</xdr:rowOff>
    </xdr:from>
    <xdr:to>
      <xdr:col>6</xdr:col>
      <xdr:colOff>88900</xdr:colOff>
      <xdr:row>31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5F8CD-2383-D642-AA00-69EC65D95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3300" y="5422900"/>
          <a:ext cx="2336800" cy="10414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0</xdr:row>
      <xdr:rowOff>12700</xdr:rowOff>
    </xdr:from>
    <xdr:to>
      <xdr:col>4</xdr:col>
      <xdr:colOff>1193800</xdr:colOff>
      <xdr:row>5</xdr:row>
      <xdr:rowOff>3513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B56EC1-4179-F74A-9A45-12809A114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0" y="12700"/>
          <a:ext cx="1943100" cy="1006813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49</xdr:row>
      <xdr:rowOff>165100</xdr:rowOff>
    </xdr:from>
    <xdr:to>
      <xdr:col>5</xdr:col>
      <xdr:colOff>377392</xdr:colOff>
      <xdr:row>56</xdr:row>
      <xdr:rowOff>124460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2F9A6A-FF7C-1145-B3D6-957FE057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0" y="10121900"/>
          <a:ext cx="2256992" cy="13817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152400</xdr:rowOff>
    </xdr:from>
    <xdr:to>
      <xdr:col>3</xdr:col>
      <xdr:colOff>635000</xdr:colOff>
      <xdr:row>5</xdr:row>
      <xdr:rowOff>143213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A4E615-DAE4-1946-956B-1DF3A139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5600" y="152400"/>
          <a:ext cx="1943100" cy="1006813"/>
        </a:xfrm>
        <a:prstGeom prst="rect">
          <a:avLst/>
        </a:prstGeom>
      </xdr:spPr>
    </xdr:pic>
    <xdr:clientData/>
  </xdr:twoCellAnchor>
  <xdr:twoCellAnchor editAs="oneCell">
    <xdr:from>
      <xdr:col>4</xdr:col>
      <xdr:colOff>482600</xdr:colOff>
      <xdr:row>0</xdr:row>
      <xdr:rowOff>88900</xdr:rowOff>
    </xdr:from>
    <xdr:to>
      <xdr:col>6</xdr:col>
      <xdr:colOff>711200</xdr:colOff>
      <xdr:row>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77864-EE4B-2A44-B1EB-EE61C4504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5200" y="88900"/>
          <a:ext cx="2336800" cy="1041400"/>
        </a:xfrm>
        <a:prstGeom prst="rect">
          <a:avLst/>
        </a:prstGeom>
      </xdr:spPr>
    </xdr:pic>
    <xdr:clientData/>
  </xdr:twoCellAnchor>
  <xdr:twoCellAnchor editAs="oneCell">
    <xdr:from>
      <xdr:col>7</xdr:col>
      <xdr:colOff>546100</xdr:colOff>
      <xdr:row>0</xdr:row>
      <xdr:rowOff>165100</xdr:rowOff>
    </xdr:from>
    <xdr:to>
      <xdr:col>9</xdr:col>
      <xdr:colOff>694892</xdr:colOff>
      <xdr:row>5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40771F-017D-FD4C-A8B2-BFBA593F3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165100"/>
          <a:ext cx="2256992" cy="101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317500</xdr:colOff>
      <xdr:row>25</xdr:row>
      <xdr:rowOff>127000</xdr:rowOff>
    </xdr:from>
    <xdr:to>
      <xdr:col>5</xdr:col>
      <xdr:colOff>165100</xdr:colOff>
      <xdr:row>30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FDCFA-C816-F54F-A678-7FD2E5C9C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0" y="4800600"/>
          <a:ext cx="2336800" cy="10414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0</xdr:row>
      <xdr:rowOff>12700</xdr:rowOff>
    </xdr:from>
    <xdr:to>
      <xdr:col>4</xdr:col>
      <xdr:colOff>1193800</xdr:colOff>
      <xdr:row>5</xdr:row>
      <xdr:rowOff>3513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3EAD97-947E-F64E-920F-32B529D8B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0" y="12700"/>
          <a:ext cx="1943100" cy="10068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152400</xdr:rowOff>
    </xdr:from>
    <xdr:to>
      <xdr:col>5</xdr:col>
      <xdr:colOff>110692</xdr:colOff>
      <xdr:row>56</xdr:row>
      <xdr:rowOff>111760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FC5670-768E-F748-90DC-5D79465DA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800" y="10109200"/>
          <a:ext cx="2256992" cy="13817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0</xdr:row>
      <xdr:rowOff>0</xdr:rowOff>
    </xdr:from>
    <xdr:to>
      <xdr:col>4</xdr:col>
      <xdr:colOff>914400</xdr:colOff>
      <xdr:row>5</xdr:row>
      <xdr:rowOff>36876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6300" y="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3</xdr:col>
      <xdr:colOff>279400</xdr:colOff>
      <xdr:row>19</xdr:row>
      <xdr:rowOff>139700</xdr:rowOff>
    </xdr:from>
    <xdr:to>
      <xdr:col>5</xdr:col>
      <xdr:colOff>114300</xdr:colOff>
      <xdr:row>25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4000500"/>
          <a:ext cx="2260600" cy="10820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177800</xdr:colOff>
      <xdr:row>1</xdr:row>
      <xdr:rowOff>25400</xdr:rowOff>
    </xdr:from>
    <xdr:to>
      <xdr:col>5</xdr:col>
      <xdr:colOff>101600</xdr:colOff>
      <xdr:row>6</xdr:row>
      <xdr:rowOff>62276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6300" y="22860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19</xdr:row>
      <xdr:rowOff>127000</xdr:rowOff>
    </xdr:from>
    <xdr:to>
      <xdr:col>5</xdr:col>
      <xdr:colOff>279400</xdr:colOff>
      <xdr:row>24</xdr:row>
      <xdr:rowOff>193040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3987800"/>
          <a:ext cx="2260600" cy="10820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</xdr:colOff>
      <xdr:row>0</xdr:row>
      <xdr:rowOff>101600</xdr:rowOff>
    </xdr:from>
    <xdr:to>
      <xdr:col>4</xdr:col>
      <xdr:colOff>1257300</xdr:colOff>
      <xdr:row>5</xdr:row>
      <xdr:rowOff>138476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40FA6-FF5D-9D4A-BEAC-A8BB52F32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600" y="10160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</xdr:row>
      <xdr:rowOff>88900</xdr:rowOff>
    </xdr:from>
    <xdr:to>
      <xdr:col>5</xdr:col>
      <xdr:colOff>266700</xdr:colOff>
      <xdr:row>24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059D8-01E9-7243-876C-B1EBA5E16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8200" y="3949700"/>
          <a:ext cx="2260600" cy="10820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203200</xdr:colOff>
      <xdr:row>0</xdr:row>
      <xdr:rowOff>127000</xdr:rowOff>
    </xdr:from>
    <xdr:to>
      <xdr:col>5</xdr:col>
      <xdr:colOff>88900</xdr:colOff>
      <xdr:row>5</xdr:row>
      <xdr:rowOff>163876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F7604-1748-3341-B423-7F961FDF5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" y="12700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3</xdr:col>
      <xdr:colOff>139700</xdr:colOff>
      <xdr:row>19</xdr:row>
      <xdr:rowOff>25400</xdr:rowOff>
    </xdr:from>
    <xdr:to>
      <xdr:col>5</xdr:col>
      <xdr:colOff>254000</xdr:colOff>
      <xdr:row>24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AAD206-8ED6-A04B-89E1-78367DEC5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3886200"/>
          <a:ext cx="2260600" cy="10820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127000</xdr:colOff>
      <xdr:row>1</xdr:row>
      <xdr:rowOff>190500</xdr:rowOff>
    </xdr:from>
    <xdr:to>
      <xdr:col>5</xdr:col>
      <xdr:colOff>12700</xdr:colOff>
      <xdr:row>7</xdr:row>
      <xdr:rowOff>24176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2DD08-47A8-F34C-A137-B27A89B62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800" y="39370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20</xdr:row>
      <xdr:rowOff>114300</xdr:rowOff>
    </xdr:from>
    <xdr:to>
      <xdr:col>5</xdr:col>
      <xdr:colOff>190500</xdr:colOff>
      <xdr:row>25</xdr:row>
      <xdr:rowOff>180340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09F559-0807-DA40-9F83-56F496AB0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0" y="4178300"/>
          <a:ext cx="2260600" cy="10820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7" displayName="Table7" ref="A6:A31" dataDxfId="49">
  <autoFilter ref="A6:A31" xr:uid="{00000000-0009-0000-0100-000007000000}"/>
  <sortState xmlns:xlrd2="http://schemas.microsoft.com/office/spreadsheetml/2017/richdata2" ref="A7:A31">
    <sortCondition ref="A6:A31"/>
  </sortState>
  <tableColumns count="1">
    <tableColumn id="1" xr3:uid="{00000000-0010-0000-0000-000001000000}" name="Brawl" totalsRowFunction="count" dataDxfId="48" totalsRowDxfId="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e8" displayName="Table8" ref="D6:D30" totalsRowShown="0" dataDxfId="46">
  <autoFilter ref="D6:D30" xr:uid="{00000000-0009-0000-0100-000008000000}"/>
  <sortState xmlns:xlrd2="http://schemas.microsoft.com/office/spreadsheetml/2017/richdata2" ref="D7:D30">
    <sortCondition ref="D6:D30"/>
  </sortState>
  <tableColumns count="1">
    <tableColumn id="1" xr3:uid="{00000000-0010-0000-0100-000001000000}" name="Melee" dataDxfId="45"/>
  </tableColumns>
  <tableStyleInfo name="TableStyleMedium3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le9" displayName="Table9" ref="G6:G30" totalsRowShown="0" dataDxfId="44">
  <autoFilter ref="G6:G30" xr:uid="{00000000-0009-0000-0100-000009000000}"/>
  <sortState xmlns:xlrd2="http://schemas.microsoft.com/office/spreadsheetml/2017/richdata2" ref="G7:G30">
    <sortCondition ref="G6:G30"/>
  </sortState>
  <tableColumns count="1">
    <tableColumn id="1" xr3:uid="{00000000-0010-0000-0200-000001000000}" name="Ultimate" dataDxfId="4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8DC8FDF-06EF-B04B-936E-16C9FC5EDDE7}" name="Table18" displayName="Table18" ref="B1:E74" totalsRowShown="0">
  <autoFilter ref="B1:E74" xr:uid="{3A801E30-41BA-A24B-8940-D425589F7A16}"/>
  <sortState xmlns:xlrd2="http://schemas.microsoft.com/office/spreadsheetml/2017/richdata2" ref="B2:E74">
    <sortCondition descending="1" ref="E1:E74"/>
  </sortState>
  <tableColumns count="4">
    <tableColumn id="1" xr3:uid="{A373CA84-0459-874E-8E38-5168DD29D456}" name="Name"/>
    <tableColumn id="2" xr3:uid="{85BEB5A6-650A-C14B-89FA-C7C34E03A439}" name="Wins" dataDxfId="42">
      <calculatedColumnFormula>SUM(VLOOKUP(B2,'Season 1 Stats'!$A$2:$C$500,2,FALSE),VLOOKUP(B2,'Season 2 Stats'!$A$2:$C$500,2,FALSE),VLOOKUP(B2,'Season 3 Stats'!$A$2:$C$500,2,FALSE),VLOOKUP(B2,'Season 4 Stats'!$A$2:$C$500,2,FALSE),VLOOKUP(B2,'Season 5 Stats'!$A$2:$C$500,2,FALSE),VLOOKUP(B2,'Season 6 Stats'!$A$2:$C$505,2,FALSE),VLOOKUP(B2,'Season 7 Stats'!$A$2:$C$508,2,FALSE))</calculatedColumnFormula>
    </tableColumn>
    <tableColumn id="3" xr3:uid="{E97AA833-5408-8E46-BD61-9369187E09CA}" name="Losses" dataDxfId="41">
      <calculatedColumnFormula>SUM(VLOOKUP(B2,'Season 1 Stats'!$A$2:$C$500,3,FALSE),VLOOKUP(B2,'Season 2 Stats'!$A$2:$C$500,3,FALSE),VLOOKUP(B2,'Season 3 Stats'!$A$2:$C$500,3,FALSE),VLOOKUP(B2,'Season 4 Stats'!$A$2:$C$500,3,FALSE),VLOOKUP(B2,'Season 5 Stats'!$A$2:$C$500,3,FALSE),VLOOKUP(B2,'Season 6 Stats'!$A$2:$C$505,3,FALSE),VLOOKUP(B2,'Season 7 Stats'!$A$2:$C$508,3,FALSE))</calculatedColumnFormula>
    </tableColumn>
    <tableColumn id="4" xr3:uid="{334FF686-079F-694F-895A-F9617536790D}" name="Win Percentage" dataDxfId="40">
      <calculatedColumnFormula>IF(ISERROR(C2/(C2+D2)),0%,C2/(C2+D2))</calculatedColumnFormula>
    </tableColumn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2D9BDC-FEA4-BB47-8B0D-F3AFB4604B6E}" name="Table51615" displayName="Table51615" ref="A1:C26" totalsRowShown="0">
  <autoFilter ref="A1:C26" xr:uid="{28F2071F-AA6C-324B-A0E3-9463F7686346}"/>
  <sortState xmlns:xlrd2="http://schemas.microsoft.com/office/spreadsheetml/2017/richdata2" ref="A2:C26">
    <sortCondition descending="1" ref="B1:B26"/>
  </sortState>
  <tableColumns count="3">
    <tableColumn id="1" xr3:uid="{90922251-3C85-6846-80A2-5F0D446FED3A}" name="Brawl Fighters" dataDxfId="39"/>
    <tableColumn id="2" xr3:uid="{7EAF2971-4D2B-654C-971F-49FD5B75825E}" name="W" dataDxfId="38" dataCellStyle="Good">
      <calculatedColumnFormula>COUNTIF('Season 7'!A:AAO, CONCATENATE(TRIM(A2), " ","-"," ","W*"))</calculatedColumnFormula>
    </tableColumn>
    <tableColumn id="3" xr3:uid="{7A2E997B-799D-D84D-89EF-C4D963C2D04F}" name="L" dataDxfId="37" dataCellStyle="Bad">
      <calculatedColumnFormula>SUM(COUNTIF('Season 7'!A:AAO, TRIM(A2)), COUNTIF('Season 7'!A:AAO, TRIM(A2) &amp; " (Defending)"), COUNTIF('Season 7'!A:AAO, TRIM(A2) &amp; " (PL)"), , COUNTIF('Season 7'!A:AAO, TRIM(A2) &amp; " (PL) (Defending)"))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70DAB41-E7AD-EE4B-B21F-2EFF92328CBC}" name="Table41720" displayName="Table41720" ref="A28:C52" totalsRowShown="0">
  <autoFilter ref="A28:C52" xr:uid="{7663DD64-3B2E-3D43-9264-E762708FFFF9}"/>
  <sortState xmlns:xlrd2="http://schemas.microsoft.com/office/spreadsheetml/2017/richdata2" ref="A29:C52">
    <sortCondition descending="1" ref="B28:B52"/>
  </sortState>
  <tableColumns count="3">
    <tableColumn id="1" xr3:uid="{C61EDFC8-9C2D-D04F-AB3D-F7CE70104D5C}" name="Melee Fighters" dataDxfId="36"/>
    <tableColumn id="2" xr3:uid="{3F84E2E8-E0CB-7443-8CEE-F50DD19389DD}" name="W" dataDxfId="35" dataCellStyle="Good">
      <calculatedColumnFormula>COUNTIF('Season 7'!A:AAO, CONCATENATE(TRIM(A29), " ","-"," ","W*"))</calculatedColumnFormula>
    </tableColumn>
    <tableColumn id="3" xr3:uid="{2CB1F64F-7416-8748-992E-5786EE3B6F7E}" name="L" dataDxfId="34" dataCellStyle="Bad">
      <calculatedColumnFormula>SUM(COUNTIF('Season 7'!A:AAO, TRIM(A29)), COUNTIF('Season 7'!A:AAO, TRIM(A29) &amp; " (Defending)"), , COUNTIF('Season 7'!A:AAO, TRIM(A29) &amp; " (PL)"), COUNTIF('Season 7'!A:AAO, TRIM(A29) &amp; " (PL) (Defending)"))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597C565-DCB9-2D48-84AD-2413D614C838}" name="Table4171821" displayName="Table4171821" ref="A54:C78" totalsRowShown="0">
  <autoFilter ref="A54:C78" xr:uid="{0EB46893-C689-C043-B3A7-96F7FE79B028}"/>
  <sortState xmlns:xlrd2="http://schemas.microsoft.com/office/spreadsheetml/2017/richdata2" ref="A55:C78">
    <sortCondition descending="1" ref="B54:B78"/>
  </sortState>
  <tableColumns count="3">
    <tableColumn id="1" xr3:uid="{E475EEC1-3343-D149-B655-92E45285CF4F}" name="Ultimate Fighters" dataDxfId="33"/>
    <tableColumn id="2" xr3:uid="{B6E899F3-D990-3344-BCF6-09ECF029B1EC}" name="W" dataDxfId="32" dataCellStyle="Good">
      <calculatedColumnFormula>COUNTIF('Season 7'!A:AAO, CONCATENATE(TRIM(A55), " ","-"," ","W*"))</calculatedColumnFormula>
    </tableColumn>
    <tableColumn id="3" xr3:uid="{76589CB0-BFC2-BE46-B679-E999FC46191C}" name="L" dataDxfId="31" dataCellStyle="Bad">
      <calculatedColumnFormula>SUM(COUNTIF('Season 7'!A:AAO, TRIM(A55)), COUNTIF('Season 7'!A:AAO, TRIM(A55) &amp; " (Defending)"), COUNTIF('Season 7'!A:AAO, TRIM(A55) &amp; " (PL)"), COUNTIF('Season 7'!A:AAO, TRIM(A55) &amp; " (PL) (Defending)"))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FDBA09-D622-404A-988A-BC3ABE05E89C}" name="Table516" displayName="Table516" ref="A1:C25" totalsRowShown="0">
  <autoFilter ref="A1:C25" xr:uid="{28F2071F-AA6C-324B-A0E3-9463F7686346}"/>
  <sortState xmlns:xlrd2="http://schemas.microsoft.com/office/spreadsheetml/2017/richdata2" ref="A2:C25">
    <sortCondition descending="1" ref="B1:B25"/>
  </sortState>
  <tableColumns count="3">
    <tableColumn id="1" xr3:uid="{2982C2E8-A51E-584E-B78A-62C20787A789}" name="Brawl Fighters" dataDxfId="30"/>
    <tableColumn id="2" xr3:uid="{FCD545F8-1F0A-584A-BEA2-F73849CC7F3A}" name="W" dataDxfId="29" dataCellStyle="Good">
      <calculatedColumnFormula>COUNTIF('Season 6'!A:AAO, CONCATENATE(TRIM(A2), " ","-"," ","W*"))</calculatedColumnFormula>
    </tableColumn>
    <tableColumn id="3" xr3:uid="{0E6A744D-079C-6044-BBB5-4F137CA31226}" name="L" dataDxfId="28" dataCellStyle="Bad">
      <calculatedColumnFormula>SUM(COUNTIF('Season 6'!A:AAO, TRIM(A2)), COUNTIF('Season 6'!A:AAO, TRIM(A2) &amp; " (Defending)"), COUNTIF('Season 6'!A:AAO, TRIM(A2) &amp; " (PL)"), COUNTIF('Season 6'!A:AAO, TRIM(A2) &amp; " (PL) (Defending)"))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F937437-5EC2-A44E-A154-365A86B509CB}" name="Table417" displayName="Table417" ref="A27:C50" totalsRowShown="0">
  <autoFilter ref="A27:C50" xr:uid="{7663DD64-3B2E-3D43-9264-E762708FFFF9}"/>
  <sortState xmlns:xlrd2="http://schemas.microsoft.com/office/spreadsheetml/2017/richdata2" ref="A28:C50">
    <sortCondition descending="1" ref="B27:B50"/>
  </sortState>
  <tableColumns count="3">
    <tableColumn id="1" xr3:uid="{13294371-FC8B-2041-9136-63C6B4CB9D46}" name="Melee Fighters" dataDxfId="27"/>
    <tableColumn id="2" xr3:uid="{83B9DAE7-C2DA-E343-BBF5-3CE259E51E2B}" name="W" dataDxfId="26" dataCellStyle="Good">
      <calculatedColumnFormula>COUNTIF('Season 6'!A:AAO, CONCATENATE(TRIM(A28), " ","-"," ","W*"))</calculatedColumnFormula>
    </tableColumn>
    <tableColumn id="3" xr3:uid="{7B35F924-A77F-5B43-9C9A-12C64B032CE3}" name="L" dataDxfId="25" dataCellStyle="Bad">
      <calculatedColumnFormula>SUM(COUNTIF('Season 6'!A:AAO, TRIM(A28)), COUNTIF('Season 6'!A:AAO, TRIM(A28) &amp; " (Defending)"), COUNTIF('Season 6'!A:AAO, TRIM(A28)&amp; " (PL)"), COUNTIF('Season 6'!A:AAO, TRIM(A28) &amp; " (PL) (Defending)"))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598E4A2-3C1D-6747-A659-6D478EBC81B9}" name="Table41718" displayName="Table41718" ref="A52:C75" totalsRowShown="0">
  <autoFilter ref="A52:C75" xr:uid="{0EB46893-C689-C043-B3A7-96F7FE79B028}"/>
  <sortState xmlns:xlrd2="http://schemas.microsoft.com/office/spreadsheetml/2017/richdata2" ref="A53:C75">
    <sortCondition descending="1" ref="B52:B75"/>
  </sortState>
  <tableColumns count="3">
    <tableColumn id="1" xr3:uid="{A10FE18B-8BD4-AB49-B876-FBEB561D1AB8}" name="Ultimate Fighters" dataDxfId="24"/>
    <tableColumn id="2" xr3:uid="{A301896C-0F8C-A44B-87A5-92BDFBDC6953}" name="W" dataDxfId="23" dataCellStyle="Good">
      <calculatedColumnFormula>COUNTIF('Season 6'!A:AAO, CONCATENATE(TRIM(A53), " ","-"," ","W*"))</calculatedColumnFormula>
    </tableColumn>
    <tableColumn id="3" xr3:uid="{969FC5B2-D5D3-5C4B-95A2-E1D2DC78AA9A}" name="L" dataDxfId="22" dataCellStyle="Bad">
      <calculatedColumnFormula>SUM(COUNTIF('Season 6'!A:AAO, TRIM(A53)), COUNTIF('Season 6'!A:AAO, TRIM(A53) &amp; " (Defending)"), COUNTIF('Season 6'!A:AAO, TRIM(A53) &amp; " (PL)"), COUNTIF('Season 6'!A:AAO, TRIM(A53) &amp; " (PL) (Defending)"))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1:C38" totalsRowShown="0">
  <autoFilter ref="A21:C38" xr:uid="{00000000-0009-0000-0100-000004000000}"/>
  <sortState xmlns:xlrd2="http://schemas.microsoft.com/office/spreadsheetml/2017/richdata2" ref="A22:C38">
    <sortCondition descending="1" ref="B21:B38"/>
  </sortState>
  <tableColumns count="3">
    <tableColumn id="1" xr3:uid="{00000000-0010-0000-0300-000001000000}" name="Melee Fighters" dataDxfId="21"/>
    <tableColumn id="2" xr3:uid="{00000000-0010-0000-0300-000002000000}" name="W" dataDxfId="20" dataCellStyle="Good">
      <calculatedColumnFormula>COUNTIF('Season 5'!A:CF,  CONCATENATE(TRIM(A22), " ","-"," ","W*"))</calculatedColumnFormula>
    </tableColumn>
    <tableColumn id="3" xr3:uid="{00000000-0010-0000-0300-000003000000}" name="L" dataDxfId="19" dataCellStyle="Bad">
      <calculatedColumnFormula>SUM(COUNTIF('Season 5'!A:AAO, TRIM(A22)), COUNTIF('Season 5'!A:AAO, TRIM(A22) &amp; " (Defending)"), COUNTIF('Season 5'!A:AAO, TRIM(A22) &amp; " (PL)"), COUNTIF('Season 5'!A:AAO, TRIM(A22) &amp; " (PL) (Defending)"))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C19" totalsRowShown="0">
  <autoFilter ref="A1:C19" xr:uid="{00000000-0009-0000-0100-000005000000}"/>
  <sortState xmlns:xlrd2="http://schemas.microsoft.com/office/spreadsheetml/2017/richdata2" ref="A2:C19">
    <sortCondition descending="1" ref="B1:B19"/>
  </sortState>
  <tableColumns count="3">
    <tableColumn id="1" xr3:uid="{00000000-0010-0000-0400-000001000000}" name="Brawl Fighters" dataDxfId="18"/>
    <tableColumn id="2" xr3:uid="{00000000-0010-0000-0400-000002000000}" name="W" dataDxfId="17" dataCellStyle="Good">
      <calculatedColumnFormula>COUNTIF('Season 5'!A:CF,  CONCATENATE(TRIM(A2), " ","-"," ","W*"))</calculatedColumnFormula>
    </tableColumn>
    <tableColumn id="3" xr3:uid="{00000000-0010-0000-0400-000003000000}" name="L" dataDxfId="16" dataCellStyle="Bad">
      <calculatedColumnFormula>SUM(COUNTIF('Season 5'!A:AAO, TRIM(A2)), COUNTIF('Season 5'!A:AAO, TRIM(A2) &amp; " (Defending)"), COUNTIF('Season 5'!A:AAO, TRIM(A2) &amp; " (PL)"), COUNTIF('Season 5'!A:AAO, TRIM(A2) &amp; " (PL) (Defending)"))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3" displayName="Table3" ref="A1:C19" totalsRowShown="0">
  <autoFilter ref="A1:C19" xr:uid="{00000000-0009-0000-0100-000003000000}"/>
  <sortState xmlns:xlrd2="http://schemas.microsoft.com/office/spreadsheetml/2017/richdata2" ref="A2:C19">
    <sortCondition descending="1" ref="B1:B19"/>
  </sortState>
  <tableColumns count="3">
    <tableColumn id="1" xr3:uid="{00000000-0010-0000-0500-000001000000}" name="Brawl Fighters"/>
    <tableColumn id="2" xr3:uid="{00000000-0010-0000-0500-000002000000}" name="W" dataDxfId="15" dataCellStyle="Good"/>
    <tableColumn id="3" xr3:uid="{00000000-0010-0000-0500-000003000000}" name="L" dataDxfId="14" dataCellStyle="Bad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6" displayName="Table6" ref="A21:C38" totalsRowShown="0">
  <autoFilter ref="A21:C38" xr:uid="{00000000-0009-0000-0100-000006000000}"/>
  <sortState xmlns:xlrd2="http://schemas.microsoft.com/office/spreadsheetml/2017/richdata2" ref="A22:C38">
    <sortCondition descending="1" ref="B21:B38"/>
  </sortState>
  <tableColumns count="3">
    <tableColumn id="1" xr3:uid="{00000000-0010-0000-0600-000001000000}" name="Melee Fighters"/>
    <tableColumn id="2" xr3:uid="{00000000-0010-0000-0600-000002000000}" name="W" dataDxfId="13" dataCellStyle="Good"/>
    <tableColumn id="3" xr3:uid="{00000000-0010-0000-0600-000003000000}" name="L" dataDxfId="12" dataCellStyle="Bad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9F4B11-942E-9A4A-B7BE-47979306F429}" name="Table32" displayName="Table32" ref="A1:C18" totalsRowShown="0">
  <autoFilter ref="A1:C18" xr:uid="{48BD3B8F-9717-9447-93E9-B326171C7275}"/>
  <sortState xmlns:xlrd2="http://schemas.microsoft.com/office/spreadsheetml/2017/richdata2" ref="A2:C18">
    <sortCondition descending="1" ref="B1:B18"/>
  </sortState>
  <tableColumns count="3">
    <tableColumn id="1" xr3:uid="{016630B6-FD5E-D34C-98A9-BE3EC40AB621}" name="Brawl Fighters"/>
    <tableColumn id="2" xr3:uid="{5C275A3D-6538-AE42-A8D8-ABFB94E1DE77}" name="W" dataDxfId="11" dataCellStyle="Good"/>
    <tableColumn id="3" xr3:uid="{289347B4-C759-544E-B4FE-049462955144}" name="L" dataDxfId="10" dataCellStyle="Bad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2774D2-3A02-F14A-B3E6-5943BCADE3E6}" name="Table63" displayName="Table63" ref="A20:C38" totalsRowShown="0">
  <autoFilter ref="A20:C38" xr:uid="{4B6F921C-9676-1345-B628-F779F8132660}"/>
  <sortState xmlns:xlrd2="http://schemas.microsoft.com/office/spreadsheetml/2017/richdata2" ref="A21:C38">
    <sortCondition descending="1" ref="B20:B38"/>
  </sortState>
  <tableColumns count="3">
    <tableColumn id="1" xr3:uid="{44481BB4-FD3A-B64C-8E5C-BF31E0844A6A}" name="Melee Fighters"/>
    <tableColumn id="2" xr3:uid="{79B4305F-FE01-1743-82E8-CDF11D28B938}" name="W" dataDxfId="9" dataCellStyle="Good"/>
    <tableColumn id="3" xr3:uid="{CDF41DD4-C1AB-AE48-B352-2256B788B92F}" name="L" dataDxfId="8" dataCellStyle="Bad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B2BE8-624A-5745-B227-0072594AEF6F}" name="Table3211" displayName="Table3211" ref="A1:C18" totalsRowShown="0">
  <autoFilter ref="A1:C18" xr:uid="{E72CCF5E-3384-BE46-9336-71522D33F25C}"/>
  <sortState xmlns:xlrd2="http://schemas.microsoft.com/office/spreadsheetml/2017/richdata2" ref="A2:C18">
    <sortCondition descending="1" ref="B1:B18"/>
  </sortState>
  <tableColumns count="3">
    <tableColumn id="1" xr3:uid="{BB3BC3BC-8B7D-3746-98DB-ED675A5037CA}" name="Brawl Fighters"/>
    <tableColumn id="2" xr3:uid="{FBB0EFEE-71AF-5743-8981-7F086DA41A01}" name="W" dataDxfId="7" dataCellStyle="Good"/>
    <tableColumn id="3" xr3:uid="{CE19C7BE-618F-7640-BECD-3CB9D302A367}" name="L" dataDxfId="6" dataCellStyle="Bad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6F580F-AA3B-C545-BCDE-492471670B0F}" name="Table6312" displayName="Table6312" ref="A20:C38" totalsRowShown="0">
  <autoFilter ref="A20:C38" xr:uid="{49797DF3-3F6A-274D-B768-3594C451139A}"/>
  <sortState xmlns:xlrd2="http://schemas.microsoft.com/office/spreadsheetml/2017/richdata2" ref="A21:C38">
    <sortCondition descending="1" ref="B20:B38"/>
  </sortState>
  <tableColumns count="3">
    <tableColumn id="1" xr3:uid="{10648974-24D7-2E40-9233-0A50C973D8E6}" name="Melee Fighters"/>
    <tableColumn id="2" xr3:uid="{7324D08D-E59D-B240-9A63-B0417AA14EAC}" name="W" dataDxfId="5" dataCellStyle="Good"/>
    <tableColumn id="3" xr3:uid="{0BCFE172-FDD0-304A-897D-0A5EF4BE88EA}" name="L" dataDxfId="4" dataCellStyle="Bad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CAD1E88-DB25-0740-81A2-A5A7A09C8D72}" name="Table321113" displayName="Table321113" ref="A1:C18" totalsRowShown="0">
  <autoFilter ref="A1:C18" xr:uid="{E94034D0-72DA-1743-A838-B3B4D8F261E2}"/>
  <sortState xmlns:xlrd2="http://schemas.microsoft.com/office/spreadsheetml/2017/richdata2" ref="A2:C18">
    <sortCondition descending="1" ref="B1:B18"/>
  </sortState>
  <tableColumns count="3">
    <tableColumn id="1" xr3:uid="{DCFB7BE7-6AED-DA42-B02A-7F5C1EA14C56}" name="Brawl Fighters"/>
    <tableColumn id="2" xr3:uid="{4B247364-DF9A-AD4F-AE29-902D9833047E}" name="W" dataDxfId="3" dataCellStyle="Good"/>
    <tableColumn id="3" xr3:uid="{EC132187-FB2A-9E43-9A7E-E7B76B17246D}" name="L" dataDxfId="2" dataCellStyle="Bad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B39A5A1-CA46-CA49-82D0-31CE830CDFDA}" name="Table631214" displayName="Table631214" ref="A20:C38" totalsRowShown="0">
  <autoFilter ref="A20:C38" xr:uid="{1665E5EB-D846-7E4B-AB82-76A580FF2775}"/>
  <sortState xmlns:xlrd2="http://schemas.microsoft.com/office/spreadsheetml/2017/richdata2" ref="A21:C38">
    <sortCondition descending="1" ref="B20:B38"/>
  </sortState>
  <tableColumns count="3">
    <tableColumn id="1" xr3:uid="{3AF3E448-820A-354B-904F-EFFEF030FDE8}" name="Melee Fighters"/>
    <tableColumn id="2" xr3:uid="{FD4E734F-2274-7542-B471-304ABDA167BA}" name="W" dataDxfId="1" dataCellStyle="Good"/>
    <tableColumn id="3" xr3:uid="{18DF7B14-FCF7-D045-98A0-879CB4A1CCFE}" name="L" dataDxfId="0" dataCellStyle="Ba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Relationship Id="rId4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1"/>
  <sheetViews>
    <sheetView workbookViewId="0">
      <selection activeCell="C21" sqref="C21"/>
    </sheetView>
  </sheetViews>
  <sheetFormatPr defaultColWidth="11" defaultRowHeight="15.75"/>
  <cols>
    <col min="1" max="1" width="15.6875" bestFit="1" customWidth="1"/>
    <col min="4" max="4" width="19.3125" customWidth="1"/>
    <col min="5" max="5" width="12.1875" customWidth="1"/>
    <col min="7" max="7" width="19" customWidth="1"/>
    <col min="10" max="10" width="12.6875" customWidth="1"/>
  </cols>
  <sheetData>
    <row r="2" spans="1:10">
      <c r="A2" s="3"/>
    </row>
    <row r="6" spans="1:10">
      <c r="A6" t="s">
        <v>243</v>
      </c>
      <c r="D6" t="s">
        <v>242</v>
      </c>
      <c r="G6" t="s">
        <v>406</v>
      </c>
    </row>
    <row r="7" spans="1:10">
      <c r="A7" t="s">
        <v>60</v>
      </c>
      <c r="D7" t="s">
        <v>10</v>
      </c>
      <c r="G7" t="s">
        <v>65</v>
      </c>
    </row>
    <row r="8" spans="1:10">
      <c r="A8" t="s">
        <v>291</v>
      </c>
      <c r="D8" t="s">
        <v>3</v>
      </c>
      <c r="G8" t="s">
        <v>78</v>
      </c>
    </row>
    <row r="9" spans="1:10" ht="20.25">
      <c r="A9" t="s">
        <v>16</v>
      </c>
      <c r="D9" t="s">
        <v>23</v>
      </c>
      <c r="G9" t="s">
        <v>19</v>
      </c>
      <c r="J9" s="135"/>
    </row>
    <row r="10" spans="1:10">
      <c r="A10" t="s">
        <v>531</v>
      </c>
      <c r="D10" t="s">
        <v>532</v>
      </c>
      <c r="G10" t="s">
        <v>36</v>
      </c>
    </row>
    <row r="11" spans="1:10">
      <c r="A11" t="s">
        <v>37</v>
      </c>
      <c r="D11" t="s">
        <v>82</v>
      </c>
      <c r="G11" t="s">
        <v>40</v>
      </c>
    </row>
    <row r="12" spans="1:10">
      <c r="A12" t="s">
        <v>791</v>
      </c>
      <c r="D12" t="s">
        <v>15</v>
      </c>
      <c r="G12" t="s">
        <v>63</v>
      </c>
    </row>
    <row r="13" spans="1:10">
      <c r="A13" t="s">
        <v>54</v>
      </c>
      <c r="D13" t="s">
        <v>67</v>
      </c>
      <c r="G13" t="s">
        <v>290</v>
      </c>
    </row>
    <row r="14" spans="1:10">
      <c r="A14" t="s">
        <v>48</v>
      </c>
      <c r="D14" t="s">
        <v>11</v>
      </c>
      <c r="G14" t="s">
        <v>721</v>
      </c>
    </row>
    <row r="15" spans="1:10">
      <c r="A15" t="s">
        <v>445</v>
      </c>
      <c r="D15" t="s">
        <v>446</v>
      </c>
      <c r="G15" t="s">
        <v>59</v>
      </c>
    </row>
    <row r="16" spans="1:10">
      <c r="A16" t="s">
        <v>56</v>
      </c>
      <c r="D16" t="s">
        <v>326</v>
      </c>
      <c r="G16" t="s">
        <v>6</v>
      </c>
    </row>
    <row r="17" spans="1:7">
      <c r="A17" t="s">
        <v>64</v>
      </c>
      <c r="D17" t="s">
        <v>77</v>
      </c>
      <c r="G17" t="s">
        <v>50</v>
      </c>
    </row>
    <row r="18" spans="1:7">
      <c r="A18" t="s">
        <v>51</v>
      </c>
      <c r="D18" t="s">
        <v>84</v>
      </c>
      <c r="G18" t="s">
        <v>53</v>
      </c>
    </row>
    <row r="19" spans="1:7">
      <c r="A19" t="s">
        <v>13</v>
      </c>
      <c r="D19" t="s">
        <v>39</v>
      </c>
      <c r="G19" t="s">
        <v>5</v>
      </c>
    </row>
    <row r="20" spans="1:7">
      <c r="A20" t="s">
        <v>18</v>
      </c>
      <c r="D20" t="s">
        <v>17</v>
      </c>
      <c r="G20" t="s">
        <v>58</v>
      </c>
    </row>
    <row r="21" spans="1:7">
      <c r="A21" t="s">
        <v>57</v>
      </c>
      <c r="D21" t="s">
        <v>1</v>
      </c>
      <c r="G21" t="s">
        <v>9</v>
      </c>
    </row>
    <row r="22" spans="1:7">
      <c r="A22" t="s">
        <v>14</v>
      </c>
      <c r="D22" t="s">
        <v>66</v>
      </c>
      <c r="G22" t="s">
        <v>44</v>
      </c>
    </row>
    <row r="23" spans="1:7">
      <c r="A23" t="s">
        <v>20</v>
      </c>
      <c r="D23" t="s">
        <v>46</v>
      </c>
      <c r="G23" t="s">
        <v>61</v>
      </c>
    </row>
    <row r="24" spans="1:7">
      <c r="A24" t="s">
        <v>4</v>
      </c>
      <c r="D24" t="s">
        <v>62</v>
      </c>
      <c r="G24" t="s">
        <v>55</v>
      </c>
    </row>
    <row r="25" spans="1:7">
      <c r="A25" t="s">
        <v>49</v>
      </c>
      <c r="D25" t="s">
        <v>722</v>
      </c>
      <c r="G25" t="s">
        <v>45</v>
      </c>
    </row>
    <row r="26" spans="1:7">
      <c r="A26" t="s">
        <v>533</v>
      </c>
      <c r="D26" t="s">
        <v>542</v>
      </c>
      <c r="G26" t="s">
        <v>12</v>
      </c>
    </row>
    <row r="27" spans="1:7">
      <c r="A27" t="s">
        <v>76</v>
      </c>
      <c r="D27" t="s">
        <v>2</v>
      </c>
      <c r="G27" t="s">
        <v>7</v>
      </c>
    </row>
    <row r="28" spans="1:7">
      <c r="A28" t="s">
        <v>38</v>
      </c>
      <c r="D28" t="s">
        <v>52</v>
      </c>
      <c r="G28" t="s">
        <v>43</v>
      </c>
    </row>
    <row r="29" spans="1:7">
      <c r="A29" t="s">
        <v>42</v>
      </c>
      <c r="D29" t="s">
        <v>24</v>
      </c>
      <c r="G29" t="s">
        <v>21</v>
      </c>
    </row>
    <row r="30" spans="1:7">
      <c r="A30" t="s">
        <v>47</v>
      </c>
      <c r="D30" t="s">
        <v>41</v>
      </c>
      <c r="G30" t="s">
        <v>22</v>
      </c>
    </row>
    <row r="31" spans="1:7">
      <c r="A31" t="s">
        <v>8</v>
      </c>
    </row>
  </sheetData>
  <pageMargins left="0.75" right="0.75" top="1" bottom="1" header="0.5" footer="0.5"/>
  <pageSetup orientation="portrait" horizontalDpi="4294967292" verticalDpi="4294967292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A2" zoomScale="90" zoomScaleNormal="90" workbookViewId="0">
      <selection activeCell="D20" sqref="D20"/>
    </sheetView>
  </sheetViews>
  <sheetFormatPr defaultColWidth="11" defaultRowHeight="15.75"/>
  <cols>
    <col min="1" max="1" width="29.1875" customWidth="1"/>
    <col min="2" max="2" width="30.1875" customWidth="1"/>
    <col min="3" max="3" width="12" customWidth="1"/>
    <col min="4" max="4" width="30.1875" customWidth="1"/>
    <col min="5" max="5" width="6.1875" customWidth="1"/>
    <col min="6" max="6" width="30.1875" customWidth="1"/>
  </cols>
  <sheetData>
    <row r="1" spans="1:6" ht="21.4">
      <c r="A1" s="4" t="s">
        <v>0</v>
      </c>
      <c r="B1" s="1"/>
      <c r="C1" s="1"/>
      <c r="D1" s="1"/>
      <c r="E1" s="1"/>
      <c r="F1" s="1"/>
    </row>
    <row r="2" spans="1:6" ht="21.4">
      <c r="A2" s="4"/>
      <c r="B2" s="1"/>
      <c r="C2" s="1"/>
      <c r="D2" s="1"/>
      <c r="E2" s="1"/>
      <c r="F2" s="1"/>
    </row>
    <row r="3" spans="1:6" ht="21.4">
      <c r="A3" s="4"/>
      <c r="B3" s="1"/>
      <c r="C3" s="1"/>
      <c r="D3" s="1"/>
      <c r="E3" s="1"/>
      <c r="F3" s="1"/>
    </row>
    <row r="4" spans="1:6" ht="21.4">
      <c r="A4" s="4"/>
      <c r="B4" s="1"/>
      <c r="C4" s="1"/>
      <c r="D4" s="1"/>
      <c r="E4" s="1"/>
      <c r="F4" s="1"/>
    </row>
    <row r="5" spans="1:6" ht="16.149999999999999" thickBot="1">
      <c r="B5" s="2"/>
      <c r="C5" s="76"/>
      <c r="D5" s="2"/>
      <c r="E5" s="76"/>
      <c r="F5" s="2"/>
    </row>
    <row r="6" spans="1:6">
      <c r="A6" t="s">
        <v>385</v>
      </c>
      <c r="B6" t="s">
        <v>37</v>
      </c>
      <c r="D6" t="s">
        <v>386</v>
      </c>
    </row>
    <row r="7" spans="1:6">
      <c r="B7" t="s">
        <v>56</v>
      </c>
      <c r="D7" t="s">
        <v>47</v>
      </c>
    </row>
    <row r="8" spans="1:6">
      <c r="B8" s="17" t="s">
        <v>51</v>
      </c>
      <c r="D8" s="17" t="s">
        <v>62</v>
      </c>
      <c r="F8" s="17"/>
    </row>
    <row r="9" spans="1:6">
      <c r="A9" t="s">
        <v>25</v>
      </c>
      <c r="B9" t="s">
        <v>42</v>
      </c>
      <c r="D9" t="s">
        <v>64</v>
      </c>
      <c r="F9" t="s">
        <v>61</v>
      </c>
    </row>
    <row r="10" spans="1:6">
      <c r="F10" t="s">
        <v>53</v>
      </c>
    </row>
    <row r="11" spans="1:6">
      <c r="A11" t="s">
        <v>26</v>
      </c>
      <c r="B11" t="s">
        <v>38</v>
      </c>
      <c r="D11" t="s">
        <v>84</v>
      </c>
      <c r="F11" t="s">
        <v>1</v>
      </c>
    </row>
    <row r="12" spans="1:6">
      <c r="F12" t="s">
        <v>49</v>
      </c>
    </row>
    <row r="13" spans="1:6">
      <c r="A13" t="s">
        <v>27</v>
      </c>
      <c r="B13" t="s">
        <v>45</v>
      </c>
      <c r="D13" t="s">
        <v>63</v>
      </c>
      <c r="F13" t="s">
        <v>54</v>
      </c>
    </row>
    <row r="14" spans="1:6">
      <c r="B14" t="s">
        <v>2</v>
      </c>
      <c r="D14" t="s">
        <v>82</v>
      </c>
      <c r="F14" t="s">
        <v>66</v>
      </c>
    </row>
    <row r="15" spans="1:6">
      <c r="A15" t="s">
        <v>28</v>
      </c>
      <c r="B15" t="s">
        <v>4</v>
      </c>
      <c r="D15" t="s">
        <v>58</v>
      </c>
      <c r="F15" t="s">
        <v>60</v>
      </c>
    </row>
    <row r="16" spans="1:6">
      <c r="B16" t="s">
        <v>52</v>
      </c>
      <c r="D16" t="s">
        <v>3</v>
      </c>
      <c r="F16" t="s">
        <v>24</v>
      </c>
    </row>
    <row r="17" spans="1:6">
      <c r="A17" t="s">
        <v>29</v>
      </c>
      <c r="B17" t="s">
        <v>8</v>
      </c>
      <c r="D17" t="s">
        <v>67</v>
      </c>
      <c r="F17" t="s">
        <v>65</v>
      </c>
    </row>
    <row r="18" spans="1:6">
      <c r="B18" t="s">
        <v>76</v>
      </c>
      <c r="D18" t="s">
        <v>36</v>
      </c>
      <c r="F18" t="s">
        <v>5</v>
      </c>
    </row>
    <row r="19" spans="1:6">
      <c r="A19" t="s">
        <v>30</v>
      </c>
      <c r="B19" t="s">
        <v>10</v>
      </c>
      <c r="D19" t="s">
        <v>41</v>
      </c>
      <c r="F19" t="s">
        <v>46</v>
      </c>
    </row>
    <row r="20" spans="1:6">
      <c r="B20" t="s">
        <v>12</v>
      </c>
      <c r="D20" t="s">
        <v>9</v>
      </c>
      <c r="F20" t="s">
        <v>7</v>
      </c>
    </row>
    <row r="21" spans="1:6">
      <c r="A21" t="s">
        <v>31</v>
      </c>
      <c r="B21" t="s">
        <v>16</v>
      </c>
      <c r="D21" t="s">
        <v>50</v>
      </c>
      <c r="F21" t="s">
        <v>39</v>
      </c>
    </row>
    <row r="22" spans="1:6">
      <c r="B22" t="s">
        <v>6</v>
      </c>
      <c r="D22" t="s">
        <v>290</v>
      </c>
      <c r="F22" t="s">
        <v>11</v>
      </c>
    </row>
    <row r="23" spans="1:6">
      <c r="A23" t="s">
        <v>32</v>
      </c>
      <c r="B23" t="s">
        <v>387</v>
      </c>
      <c r="D23" t="s">
        <v>13</v>
      </c>
      <c r="F23" t="s">
        <v>43</v>
      </c>
    </row>
    <row r="24" spans="1:6">
      <c r="B24" t="s">
        <v>14</v>
      </c>
      <c r="D24" t="s">
        <v>77</v>
      </c>
      <c r="F24" t="s">
        <v>78</v>
      </c>
    </row>
    <row r="25" spans="1:6">
      <c r="A25" t="s">
        <v>33</v>
      </c>
      <c r="B25" t="s">
        <v>19</v>
      </c>
      <c r="D25" t="s">
        <v>17</v>
      </c>
      <c r="F25" t="s">
        <v>18</v>
      </c>
    </row>
    <row r="26" spans="1:6">
      <c r="B26" t="s">
        <v>57</v>
      </c>
      <c r="D26" t="s">
        <v>15</v>
      </c>
      <c r="F26" t="s">
        <v>59</v>
      </c>
    </row>
    <row r="27" spans="1:6">
      <c r="A27" t="s">
        <v>34</v>
      </c>
      <c r="B27" t="s">
        <v>291</v>
      </c>
      <c r="D27" t="s">
        <v>40</v>
      </c>
      <c r="F27" t="s">
        <v>44</v>
      </c>
    </row>
    <row r="28" spans="1:6">
      <c r="B28" t="s">
        <v>20</v>
      </c>
      <c r="D28" t="s">
        <v>326</v>
      </c>
      <c r="F28" t="s">
        <v>23</v>
      </c>
    </row>
    <row r="29" spans="1:6">
      <c r="A29" t="s">
        <v>35</v>
      </c>
      <c r="B29" t="s">
        <v>22</v>
      </c>
      <c r="D29" t="s">
        <v>21</v>
      </c>
      <c r="F29" t="s">
        <v>48</v>
      </c>
    </row>
    <row r="30" spans="1:6">
      <c r="A30" t="s">
        <v>444</v>
      </c>
      <c r="B30" t="s">
        <v>445</v>
      </c>
      <c r="D30" t="s">
        <v>532</v>
      </c>
      <c r="F30" t="s">
        <v>446</v>
      </c>
    </row>
    <row r="31" spans="1:6">
      <c r="B31" t="s">
        <v>531</v>
      </c>
      <c r="F31" t="s">
        <v>533</v>
      </c>
    </row>
  </sheetData>
  <pageMargins left="0.75" right="0.75" top="1" bottom="1" header="0.5" footer="0.5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D50"/>
  <sheetViews>
    <sheetView topLeftCell="T7" workbookViewId="0">
      <selection activeCell="AB27" sqref="AB27"/>
    </sheetView>
  </sheetViews>
  <sheetFormatPr defaultColWidth="11" defaultRowHeight="15.75"/>
  <cols>
    <col min="1" max="1" width="3.1875" bestFit="1" customWidth="1"/>
    <col min="2" max="2" width="21.5" bestFit="1" customWidth="1"/>
    <col min="3" max="3" width="13.8125" bestFit="1" customWidth="1"/>
    <col min="4" max="4" width="22.6875" bestFit="1" customWidth="1"/>
    <col min="5" max="5" width="3.1875" bestFit="1" customWidth="1"/>
    <col min="6" max="6" width="24.1875" bestFit="1" customWidth="1"/>
    <col min="7" max="7" width="18.3125" bestFit="1" customWidth="1"/>
    <col min="8" max="8" width="29.6875" bestFit="1" customWidth="1"/>
    <col min="9" max="9" width="10.8125" bestFit="1" customWidth="1"/>
    <col min="10" max="10" width="21.8125" bestFit="1" customWidth="1"/>
    <col min="11" max="11" width="3.1875" bestFit="1" customWidth="1"/>
    <col min="12" max="12" width="22.5" bestFit="1" customWidth="1"/>
    <col min="13" max="13" width="3.1875" bestFit="1" customWidth="1"/>
    <col min="14" max="14" width="22.5" bestFit="1" customWidth="1"/>
    <col min="15" max="15" width="3.1875" bestFit="1" customWidth="1"/>
    <col min="16" max="16" width="24" bestFit="1" customWidth="1"/>
    <col min="17" max="17" width="3.1875" bestFit="1" customWidth="1"/>
    <col min="18" max="18" width="23.5" bestFit="1" customWidth="1"/>
    <col min="19" max="19" width="2.1875" bestFit="1" customWidth="1"/>
    <col min="20" max="20" width="23.5" bestFit="1" customWidth="1"/>
    <col min="21" max="21" width="2.1875" bestFit="1" customWidth="1"/>
    <col min="22" max="22" width="45.3125" bestFit="1" customWidth="1"/>
    <col min="23" max="23" width="2.1875" bestFit="1" customWidth="1"/>
    <col min="24" max="24" width="29.8125" bestFit="1" customWidth="1"/>
    <col min="25" max="25" width="2.1875" bestFit="1" customWidth="1"/>
    <col min="26" max="26" width="29.8125" customWidth="1"/>
    <col min="27" max="27" width="2.1875" bestFit="1" customWidth="1"/>
    <col min="28" max="28" width="23.1875" bestFit="1" customWidth="1"/>
    <col min="29" max="29" width="2.1875" bestFit="1" customWidth="1"/>
    <col min="30" max="30" width="17.8125" bestFit="1" customWidth="1"/>
  </cols>
  <sheetData>
    <row r="3" spans="1:30">
      <c r="F3" t="s">
        <v>106</v>
      </c>
      <c r="G3" t="s">
        <v>740</v>
      </c>
    </row>
    <row r="7" spans="1:30">
      <c r="B7" t="s">
        <v>89</v>
      </c>
      <c r="C7" t="s">
        <v>42</v>
      </c>
      <c r="H7" t="s">
        <v>103</v>
      </c>
      <c r="I7" t="s">
        <v>39</v>
      </c>
      <c r="N7" t="s">
        <v>388</v>
      </c>
      <c r="P7" t="s">
        <v>791</v>
      </c>
    </row>
    <row r="8" spans="1:30">
      <c r="B8" t="s">
        <v>90</v>
      </c>
      <c r="C8" t="s">
        <v>47</v>
      </c>
      <c r="H8" t="s">
        <v>104</v>
      </c>
      <c r="I8" t="s">
        <v>82</v>
      </c>
      <c r="N8" t="s">
        <v>389</v>
      </c>
      <c r="P8" t="s">
        <v>78</v>
      </c>
    </row>
    <row r="9" spans="1:30">
      <c r="B9" t="s">
        <v>91</v>
      </c>
      <c r="C9" t="s">
        <v>60</v>
      </c>
      <c r="H9" t="s">
        <v>105</v>
      </c>
      <c r="I9" t="s">
        <v>446</v>
      </c>
      <c r="N9" t="s">
        <v>552</v>
      </c>
      <c r="P9" t="s">
        <v>5</v>
      </c>
    </row>
    <row r="10" spans="1:30">
      <c r="B10" t="s">
        <v>391</v>
      </c>
      <c r="C10" t="s">
        <v>49</v>
      </c>
      <c r="H10" t="s">
        <v>390</v>
      </c>
      <c r="N10" t="s">
        <v>392</v>
      </c>
    </row>
    <row r="12" spans="1:30" ht="16.149999999999999" thickBot="1">
      <c r="B12" s="77" t="s">
        <v>93</v>
      </c>
      <c r="D12" s="77" t="s">
        <v>94</v>
      </c>
      <c r="F12" s="77" t="s">
        <v>95</v>
      </c>
      <c r="H12" s="77" t="s">
        <v>98</v>
      </c>
      <c r="J12" s="77" t="s">
        <v>101</v>
      </c>
      <c r="L12" s="77" t="s">
        <v>102</v>
      </c>
      <c r="N12" s="77" t="s">
        <v>107</v>
      </c>
      <c r="P12" s="77" t="s">
        <v>393</v>
      </c>
      <c r="R12" s="77" t="s">
        <v>396</v>
      </c>
      <c r="T12" s="77" t="s">
        <v>537</v>
      </c>
      <c r="V12" s="77" t="s">
        <v>205</v>
      </c>
      <c r="X12" s="77" t="s">
        <v>690</v>
      </c>
      <c r="Y12" s="78"/>
      <c r="Z12" s="77" t="s">
        <v>707</v>
      </c>
      <c r="AB12" s="77" t="s">
        <v>394</v>
      </c>
      <c r="AD12" s="77" t="s">
        <v>395</v>
      </c>
    </row>
    <row r="13" spans="1:30">
      <c r="A13">
        <v>1</v>
      </c>
      <c r="B13" t="s">
        <v>61</v>
      </c>
      <c r="C13">
        <v>1</v>
      </c>
      <c r="D13" t="s">
        <v>66</v>
      </c>
      <c r="E13">
        <v>1</v>
      </c>
      <c r="F13" t="s">
        <v>43</v>
      </c>
      <c r="G13">
        <v>1</v>
      </c>
      <c r="H13" t="s">
        <v>113</v>
      </c>
      <c r="I13">
        <v>1</v>
      </c>
      <c r="J13" t="s">
        <v>56</v>
      </c>
      <c r="K13">
        <v>1</v>
      </c>
      <c r="L13" t="s">
        <v>40</v>
      </c>
      <c r="M13">
        <v>1</v>
      </c>
      <c r="N13" t="s">
        <v>36</v>
      </c>
      <c r="O13">
        <v>1</v>
      </c>
      <c r="P13" t="s">
        <v>66</v>
      </c>
      <c r="Q13">
        <v>1</v>
      </c>
      <c r="R13" t="s">
        <v>39</v>
      </c>
      <c r="S13">
        <v>1</v>
      </c>
      <c r="T13" t="s">
        <v>11</v>
      </c>
      <c r="U13">
        <v>1</v>
      </c>
      <c r="V13" t="s">
        <v>206</v>
      </c>
      <c r="W13">
        <v>1</v>
      </c>
      <c r="X13" t="s">
        <v>219</v>
      </c>
      <c r="Y13">
        <v>1</v>
      </c>
      <c r="Z13" t="s">
        <v>706</v>
      </c>
      <c r="AA13">
        <v>1</v>
      </c>
      <c r="AB13" t="s">
        <v>398</v>
      </c>
      <c r="AC13">
        <v>1</v>
      </c>
      <c r="AD13" t="s">
        <v>53</v>
      </c>
    </row>
    <row r="14" spans="1:30">
      <c r="A14">
        <v>2</v>
      </c>
      <c r="B14" t="s">
        <v>53</v>
      </c>
      <c r="C14">
        <v>2</v>
      </c>
      <c r="D14" t="s">
        <v>38</v>
      </c>
      <c r="E14">
        <v>2</v>
      </c>
      <c r="F14" t="s">
        <v>64</v>
      </c>
      <c r="G14">
        <v>2</v>
      </c>
      <c r="H14" s="17" t="s">
        <v>114</v>
      </c>
      <c r="I14">
        <v>2</v>
      </c>
      <c r="J14" t="s">
        <v>60</v>
      </c>
      <c r="K14">
        <v>2</v>
      </c>
      <c r="L14" t="s">
        <v>52</v>
      </c>
      <c r="M14">
        <v>2</v>
      </c>
      <c r="N14" t="s">
        <v>51</v>
      </c>
      <c r="O14">
        <v>2</v>
      </c>
      <c r="P14" t="s">
        <v>53</v>
      </c>
      <c r="Q14">
        <v>2</v>
      </c>
      <c r="R14" t="s">
        <v>46</v>
      </c>
      <c r="S14">
        <v>2</v>
      </c>
      <c r="T14" t="s">
        <v>43</v>
      </c>
      <c r="U14">
        <v>2</v>
      </c>
      <c r="V14" t="s">
        <v>207</v>
      </c>
      <c r="W14">
        <v>2</v>
      </c>
      <c r="X14" t="s">
        <v>47</v>
      </c>
      <c r="Y14">
        <v>2</v>
      </c>
      <c r="Z14" t="s">
        <v>808</v>
      </c>
      <c r="AA14">
        <v>2</v>
      </c>
      <c r="AB14" t="s">
        <v>399</v>
      </c>
    </row>
    <row r="15" spans="1:30">
      <c r="A15">
        <v>3</v>
      </c>
      <c r="B15" t="s">
        <v>61</v>
      </c>
      <c r="C15">
        <v>3</v>
      </c>
      <c r="D15" t="s">
        <v>66</v>
      </c>
      <c r="E15">
        <v>3</v>
      </c>
      <c r="F15" t="s">
        <v>109</v>
      </c>
      <c r="G15">
        <v>3</v>
      </c>
      <c r="H15" t="s">
        <v>113</v>
      </c>
      <c r="I15">
        <v>3</v>
      </c>
      <c r="J15" t="s">
        <v>56</v>
      </c>
      <c r="K15">
        <v>3</v>
      </c>
      <c r="L15" t="s">
        <v>66</v>
      </c>
      <c r="M15">
        <v>3</v>
      </c>
      <c r="N15" s="17" t="s">
        <v>46</v>
      </c>
      <c r="O15">
        <v>3</v>
      </c>
      <c r="P15" t="s">
        <v>43</v>
      </c>
      <c r="Q15">
        <v>3</v>
      </c>
      <c r="R15" t="s">
        <v>59</v>
      </c>
      <c r="S15">
        <v>3</v>
      </c>
      <c r="T15" t="s">
        <v>65</v>
      </c>
      <c r="U15">
        <v>3</v>
      </c>
      <c r="V15" t="s">
        <v>208</v>
      </c>
      <c r="W15">
        <v>3</v>
      </c>
      <c r="X15" t="s">
        <v>50</v>
      </c>
      <c r="AA15">
        <v>3</v>
      </c>
      <c r="AB15" t="s">
        <v>400</v>
      </c>
    </row>
    <row r="16" spans="1:30">
      <c r="A16">
        <v>4</v>
      </c>
      <c r="B16" t="s">
        <v>47</v>
      </c>
      <c r="C16">
        <v>4</v>
      </c>
      <c r="D16" t="s">
        <v>45</v>
      </c>
      <c r="E16">
        <v>4</v>
      </c>
      <c r="F16" t="s">
        <v>64</v>
      </c>
      <c r="G16">
        <v>4</v>
      </c>
      <c r="H16" s="17" t="s">
        <v>114</v>
      </c>
      <c r="I16">
        <v>4</v>
      </c>
      <c r="J16" t="s">
        <v>58</v>
      </c>
      <c r="K16">
        <v>4</v>
      </c>
      <c r="L16" s="17" t="s">
        <v>42</v>
      </c>
      <c r="M16">
        <v>4</v>
      </c>
      <c r="N16" t="s">
        <v>52</v>
      </c>
      <c r="O16">
        <v>4</v>
      </c>
      <c r="P16" t="s">
        <v>60</v>
      </c>
      <c r="Q16">
        <v>4</v>
      </c>
      <c r="R16" t="s">
        <v>7</v>
      </c>
      <c r="S16">
        <v>4</v>
      </c>
      <c r="T16" t="s">
        <v>7</v>
      </c>
      <c r="U16">
        <v>4</v>
      </c>
      <c r="V16" t="s">
        <v>209</v>
      </c>
      <c r="W16">
        <v>4</v>
      </c>
      <c r="X16" t="s">
        <v>50</v>
      </c>
      <c r="AA16">
        <v>4</v>
      </c>
      <c r="AB16" t="s">
        <v>541</v>
      </c>
    </row>
    <row r="17" spans="1:28">
      <c r="A17">
        <v>5</v>
      </c>
      <c r="B17" t="s">
        <v>84</v>
      </c>
      <c r="C17">
        <v>5</v>
      </c>
      <c r="D17" s="17" t="s">
        <v>62</v>
      </c>
      <c r="E17">
        <v>5</v>
      </c>
      <c r="F17" s="17" t="s">
        <v>45</v>
      </c>
      <c r="G17">
        <v>5</v>
      </c>
      <c r="H17" t="s">
        <v>115</v>
      </c>
      <c r="I17">
        <v>5</v>
      </c>
      <c r="J17" s="17" t="s">
        <v>82</v>
      </c>
      <c r="K17">
        <v>5</v>
      </c>
      <c r="L17" t="s">
        <v>66</v>
      </c>
      <c r="M17">
        <v>5</v>
      </c>
      <c r="N17" s="17" t="s">
        <v>66</v>
      </c>
      <c r="O17">
        <v>5</v>
      </c>
      <c r="P17" t="s">
        <v>46</v>
      </c>
      <c r="Q17">
        <v>5</v>
      </c>
      <c r="R17" t="s">
        <v>19</v>
      </c>
      <c r="S17">
        <v>5</v>
      </c>
      <c r="T17" s="17" t="s">
        <v>65</v>
      </c>
      <c r="U17">
        <v>5</v>
      </c>
      <c r="V17" t="s">
        <v>210</v>
      </c>
      <c r="W17">
        <v>5</v>
      </c>
      <c r="X17" t="s">
        <v>56</v>
      </c>
      <c r="AA17">
        <v>5</v>
      </c>
      <c r="AB17" t="s">
        <v>637</v>
      </c>
    </row>
    <row r="18" spans="1:28">
      <c r="A18">
        <v>6</v>
      </c>
      <c r="B18" t="s">
        <v>37</v>
      </c>
      <c r="C18">
        <v>6</v>
      </c>
      <c r="D18" t="s">
        <v>63</v>
      </c>
      <c r="E18">
        <v>6</v>
      </c>
      <c r="F18" t="s">
        <v>47</v>
      </c>
      <c r="G18">
        <v>6</v>
      </c>
      <c r="H18" t="s">
        <v>114</v>
      </c>
      <c r="I18">
        <v>6</v>
      </c>
      <c r="J18" t="s">
        <v>61</v>
      </c>
      <c r="K18">
        <v>6</v>
      </c>
      <c r="L18" t="s">
        <v>42</v>
      </c>
      <c r="M18">
        <v>6</v>
      </c>
      <c r="N18" s="21" t="s">
        <v>60</v>
      </c>
      <c r="O18">
        <v>6</v>
      </c>
      <c r="P18" s="17" t="s">
        <v>59</v>
      </c>
      <c r="Q18">
        <v>6</v>
      </c>
      <c r="R18" s="17" t="s">
        <v>290</v>
      </c>
      <c r="S18">
        <v>6</v>
      </c>
      <c r="T18" t="s">
        <v>12</v>
      </c>
      <c r="U18">
        <v>6</v>
      </c>
      <c r="V18" t="s">
        <v>726</v>
      </c>
      <c r="W18">
        <v>6</v>
      </c>
      <c r="X18" t="s">
        <v>52</v>
      </c>
      <c r="AA18">
        <v>6</v>
      </c>
      <c r="AB18" t="s">
        <v>641</v>
      </c>
    </row>
    <row r="19" spans="1:28" ht="16.149999999999999" thickBot="1">
      <c r="A19">
        <v>7</v>
      </c>
      <c r="B19" t="s">
        <v>53</v>
      </c>
      <c r="C19">
        <v>7</v>
      </c>
      <c r="D19" t="s">
        <v>62</v>
      </c>
      <c r="E19">
        <v>7</v>
      </c>
      <c r="F19" t="s">
        <v>65</v>
      </c>
      <c r="G19">
        <v>7</v>
      </c>
      <c r="H19" s="22" t="s">
        <v>116</v>
      </c>
      <c r="I19">
        <v>7</v>
      </c>
      <c r="J19" t="s">
        <v>56</v>
      </c>
      <c r="K19">
        <v>7</v>
      </c>
      <c r="L19" s="17" t="s">
        <v>38</v>
      </c>
      <c r="M19">
        <v>7</v>
      </c>
      <c r="N19" s="21" t="s">
        <v>57</v>
      </c>
      <c r="O19">
        <v>7</v>
      </c>
      <c r="P19" t="s">
        <v>53</v>
      </c>
      <c r="Q19">
        <v>7</v>
      </c>
      <c r="R19" t="s">
        <v>7</v>
      </c>
      <c r="S19">
        <v>7</v>
      </c>
      <c r="T19" t="s">
        <v>5</v>
      </c>
      <c r="U19">
        <v>7</v>
      </c>
      <c r="V19" t="s">
        <v>790</v>
      </c>
      <c r="W19">
        <v>7</v>
      </c>
      <c r="X19" t="s">
        <v>64</v>
      </c>
    </row>
    <row r="20" spans="1:28" ht="16.149999999999999" thickTop="1">
      <c r="A20">
        <v>8</v>
      </c>
      <c r="B20" s="17" t="s">
        <v>37</v>
      </c>
      <c r="C20">
        <v>8</v>
      </c>
      <c r="D20" t="s">
        <v>63</v>
      </c>
      <c r="E20">
        <v>8</v>
      </c>
      <c r="F20" s="17" t="s">
        <v>50</v>
      </c>
      <c r="G20">
        <v>8</v>
      </c>
      <c r="H20" s="71" t="s">
        <v>204</v>
      </c>
      <c r="I20">
        <v>8</v>
      </c>
      <c r="J20" t="s">
        <v>24</v>
      </c>
      <c r="K20">
        <v>8</v>
      </c>
      <c r="L20" t="s">
        <v>54</v>
      </c>
      <c r="M20">
        <v>8</v>
      </c>
      <c r="N20" t="s">
        <v>66</v>
      </c>
      <c r="O20">
        <v>8</v>
      </c>
      <c r="P20" t="s">
        <v>59</v>
      </c>
      <c r="Q20">
        <v>8</v>
      </c>
      <c r="R20" t="s">
        <v>19</v>
      </c>
      <c r="S20">
        <v>8</v>
      </c>
      <c r="T20" t="s">
        <v>9</v>
      </c>
    </row>
    <row r="21" spans="1:28">
      <c r="A21">
        <v>9</v>
      </c>
      <c r="B21" t="s">
        <v>64</v>
      </c>
      <c r="C21">
        <v>9</v>
      </c>
      <c r="D21" t="s">
        <v>53</v>
      </c>
      <c r="E21">
        <v>9</v>
      </c>
      <c r="F21" s="21" t="s">
        <v>47</v>
      </c>
      <c r="G21">
        <v>9</v>
      </c>
      <c r="H21" s="21" t="s">
        <v>739</v>
      </c>
      <c r="I21">
        <v>9</v>
      </c>
      <c r="J21" t="s">
        <v>55</v>
      </c>
      <c r="K21">
        <v>9</v>
      </c>
      <c r="L21" t="s">
        <v>24</v>
      </c>
      <c r="M21">
        <v>9</v>
      </c>
      <c r="N21" t="s">
        <v>24</v>
      </c>
      <c r="O21">
        <v>9</v>
      </c>
      <c r="P21" t="s">
        <v>7</v>
      </c>
      <c r="Q21">
        <v>9</v>
      </c>
      <c r="R21" t="s">
        <v>66</v>
      </c>
      <c r="S21">
        <v>9</v>
      </c>
      <c r="T21" t="s">
        <v>5</v>
      </c>
    </row>
    <row r="22" spans="1:28">
      <c r="A22">
        <v>10</v>
      </c>
      <c r="B22" t="s">
        <v>36</v>
      </c>
      <c r="C22">
        <v>10</v>
      </c>
      <c r="D22" s="17" t="s">
        <v>46</v>
      </c>
      <c r="E22">
        <v>10</v>
      </c>
      <c r="F22" t="s">
        <v>45</v>
      </c>
      <c r="G22">
        <v>10</v>
      </c>
      <c r="H22" t="s">
        <v>740</v>
      </c>
      <c r="I22">
        <v>10</v>
      </c>
      <c r="J22" t="s">
        <v>64</v>
      </c>
      <c r="K22">
        <v>10</v>
      </c>
      <c r="L22" t="s">
        <v>58</v>
      </c>
      <c r="M22">
        <v>10</v>
      </c>
      <c r="N22" s="17" t="s">
        <v>62</v>
      </c>
      <c r="O22">
        <v>10</v>
      </c>
      <c r="P22" t="s">
        <v>791</v>
      </c>
      <c r="Q22">
        <v>10</v>
      </c>
      <c r="R22" t="s">
        <v>19</v>
      </c>
    </row>
    <row r="23" spans="1:28">
      <c r="A23">
        <v>11</v>
      </c>
      <c r="B23" t="s">
        <v>42</v>
      </c>
      <c r="C23">
        <v>11</v>
      </c>
      <c r="D23" t="s">
        <v>37</v>
      </c>
      <c r="E23">
        <v>11</v>
      </c>
      <c r="F23" t="s">
        <v>59</v>
      </c>
      <c r="I23">
        <v>11</v>
      </c>
      <c r="J23" s="17" t="s">
        <v>58</v>
      </c>
      <c r="K23">
        <v>11</v>
      </c>
      <c r="L23" t="s">
        <v>54</v>
      </c>
      <c r="M23">
        <v>11</v>
      </c>
      <c r="N23" t="s">
        <v>77</v>
      </c>
      <c r="Q23">
        <v>11</v>
      </c>
      <c r="R23" t="s">
        <v>78</v>
      </c>
    </row>
    <row r="24" spans="1:28">
      <c r="A24">
        <v>12</v>
      </c>
      <c r="B24" t="s">
        <v>46</v>
      </c>
      <c r="C24">
        <v>12</v>
      </c>
      <c r="D24" t="s">
        <v>46</v>
      </c>
      <c r="E24">
        <v>12</v>
      </c>
      <c r="F24" t="s">
        <v>53</v>
      </c>
      <c r="I24">
        <v>12</v>
      </c>
      <c r="J24" t="s">
        <v>64</v>
      </c>
      <c r="K24">
        <v>12</v>
      </c>
      <c r="L24" s="17" t="s">
        <v>65</v>
      </c>
      <c r="M24">
        <v>12</v>
      </c>
      <c r="N24" t="s">
        <v>82</v>
      </c>
    </row>
    <row r="25" spans="1:28">
      <c r="A25">
        <v>13</v>
      </c>
      <c r="B25" t="s">
        <v>42</v>
      </c>
      <c r="C25">
        <v>13</v>
      </c>
      <c r="D25" s="17" t="s">
        <v>38</v>
      </c>
      <c r="E25">
        <v>13</v>
      </c>
      <c r="F25" s="17" t="s">
        <v>38</v>
      </c>
      <c r="I25">
        <v>13</v>
      </c>
      <c r="J25" t="s">
        <v>66</v>
      </c>
      <c r="K25">
        <v>13</v>
      </c>
      <c r="L25" t="s">
        <v>63</v>
      </c>
      <c r="M25">
        <v>13</v>
      </c>
      <c r="N25" t="s">
        <v>58</v>
      </c>
    </row>
    <row r="26" spans="1:28">
      <c r="A26">
        <v>14</v>
      </c>
      <c r="B26" t="s">
        <v>65</v>
      </c>
      <c r="C26">
        <v>14</v>
      </c>
      <c r="D26" s="21" t="s">
        <v>37</v>
      </c>
      <c r="E26">
        <v>14</v>
      </c>
      <c r="F26" t="s">
        <v>51</v>
      </c>
      <c r="I26">
        <v>14</v>
      </c>
      <c r="J26" s="17" t="s">
        <v>56</v>
      </c>
      <c r="K26">
        <v>14</v>
      </c>
      <c r="L26" s="17" t="s">
        <v>61</v>
      </c>
      <c r="M26">
        <v>14</v>
      </c>
      <c r="N26" s="17" t="s">
        <v>24</v>
      </c>
    </row>
    <row r="27" spans="1:28">
      <c r="A27">
        <v>15</v>
      </c>
      <c r="B27" t="s">
        <v>84</v>
      </c>
      <c r="C27">
        <v>15</v>
      </c>
      <c r="D27" t="s">
        <v>45</v>
      </c>
      <c r="E27">
        <v>15</v>
      </c>
      <c r="F27" t="s">
        <v>82</v>
      </c>
      <c r="I27">
        <v>15</v>
      </c>
      <c r="J27" t="s">
        <v>63</v>
      </c>
      <c r="K27">
        <v>15</v>
      </c>
      <c r="L27" t="s">
        <v>55</v>
      </c>
      <c r="M27">
        <v>15</v>
      </c>
      <c r="N27" t="s">
        <v>446</v>
      </c>
    </row>
    <row r="28" spans="1:28">
      <c r="A28">
        <v>16</v>
      </c>
      <c r="B28" s="17" t="s">
        <v>37</v>
      </c>
      <c r="C28">
        <v>16</v>
      </c>
      <c r="D28" t="s">
        <v>54</v>
      </c>
      <c r="E28">
        <v>16</v>
      </c>
      <c r="F28" t="s">
        <v>38</v>
      </c>
      <c r="I28">
        <v>16</v>
      </c>
      <c r="J28" t="s">
        <v>58</v>
      </c>
      <c r="K28">
        <v>16</v>
      </c>
      <c r="L28" t="s">
        <v>53</v>
      </c>
    </row>
    <row r="29" spans="1:28">
      <c r="A29">
        <v>17</v>
      </c>
      <c r="B29" t="s">
        <v>47</v>
      </c>
      <c r="C29">
        <v>17</v>
      </c>
      <c r="D29" s="17" t="s">
        <v>51</v>
      </c>
      <c r="E29">
        <v>17</v>
      </c>
      <c r="F29" t="s">
        <v>49</v>
      </c>
      <c r="I29">
        <v>17</v>
      </c>
      <c r="J29" s="17" t="s">
        <v>53</v>
      </c>
      <c r="K29">
        <v>17</v>
      </c>
      <c r="L29" s="17" t="s">
        <v>47</v>
      </c>
    </row>
    <row r="30" spans="1:28">
      <c r="A30">
        <v>18</v>
      </c>
      <c r="B30" t="s">
        <v>50</v>
      </c>
      <c r="C30">
        <v>18</v>
      </c>
      <c r="D30" t="s">
        <v>14</v>
      </c>
      <c r="E30">
        <v>18</v>
      </c>
      <c r="F30" s="17" t="s">
        <v>56</v>
      </c>
      <c r="I30">
        <v>18</v>
      </c>
      <c r="J30" t="s">
        <v>56</v>
      </c>
      <c r="K30">
        <v>18</v>
      </c>
      <c r="L30" s="21" t="s">
        <v>532</v>
      </c>
    </row>
    <row r="31" spans="1:28">
      <c r="A31">
        <v>19</v>
      </c>
      <c r="B31" t="s">
        <v>45</v>
      </c>
      <c r="C31">
        <v>19</v>
      </c>
      <c r="D31" s="17" t="s">
        <v>36</v>
      </c>
      <c r="E31">
        <v>19</v>
      </c>
      <c r="F31" s="21" t="s">
        <v>13</v>
      </c>
      <c r="I31">
        <v>19</v>
      </c>
      <c r="J31" t="s">
        <v>58</v>
      </c>
      <c r="K31">
        <v>19</v>
      </c>
      <c r="L31" t="s">
        <v>17</v>
      </c>
    </row>
    <row r="32" spans="1:28">
      <c r="A32">
        <v>20</v>
      </c>
      <c r="B32" t="s">
        <v>61</v>
      </c>
      <c r="C32">
        <v>20</v>
      </c>
      <c r="D32" t="s">
        <v>54</v>
      </c>
      <c r="E32">
        <v>20</v>
      </c>
      <c r="F32" t="s">
        <v>49</v>
      </c>
      <c r="I32">
        <v>20</v>
      </c>
      <c r="J32" t="s">
        <v>64</v>
      </c>
      <c r="K32">
        <v>20</v>
      </c>
      <c r="L32" t="s">
        <v>52</v>
      </c>
    </row>
    <row r="33" spans="1:12">
      <c r="A33">
        <v>21</v>
      </c>
      <c r="B33" t="s">
        <v>37</v>
      </c>
      <c r="C33">
        <v>21</v>
      </c>
      <c r="D33" t="s">
        <v>14</v>
      </c>
      <c r="E33">
        <v>21</v>
      </c>
      <c r="F33" t="s">
        <v>13</v>
      </c>
      <c r="I33">
        <v>21</v>
      </c>
      <c r="J33" t="s">
        <v>53</v>
      </c>
      <c r="K33">
        <v>21</v>
      </c>
      <c r="L33" t="s">
        <v>1</v>
      </c>
    </row>
    <row r="34" spans="1:12">
      <c r="A34">
        <v>22</v>
      </c>
      <c r="B34" t="s">
        <v>45</v>
      </c>
      <c r="C34">
        <v>22</v>
      </c>
      <c r="D34" t="s">
        <v>51</v>
      </c>
      <c r="E34">
        <v>22</v>
      </c>
      <c r="F34" t="s">
        <v>76</v>
      </c>
      <c r="I34">
        <v>22</v>
      </c>
      <c r="J34" t="s">
        <v>55</v>
      </c>
      <c r="K34">
        <v>22</v>
      </c>
      <c r="L34" t="s">
        <v>82</v>
      </c>
    </row>
    <row r="35" spans="1:12">
      <c r="A35">
        <v>23</v>
      </c>
      <c r="B35" t="s">
        <v>61</v>
      </c>
      <c r="C35">
        <v>23</v>
      </c>
      <c r="D35" t="s">
        <v>47</v>
      </c>
      <c r="E35">
        <v>23</v>
      </c>
      <c r="F35" t="s">
        <v>14</v>
      </c>
      <c r="I35">
        <v>23</v>
      </c>
      <c r="J35" t="s">
        <v>53</v>
      </c>
    </row>
    <row r="36" spans="1:12">
      <c r="A36">
        <v>24</v>
      </c>
      <c r="B36" s="17" t="s">
        <v>49</v>
      </c>
      <c r="E36">
        <v>24</v>
      </c>
      <c r="F36" t="s">
        <v>13</v>
      </c>
      <c r="I36">
        <v>24</v>
      </c>
      <c r="J36" s="17" t="s">
        <v>55</v>
      </c>
    </row>
    <row r="37" spans="1:12">
      <c r="A37">
        <v>25</v>
      </c>
      <c r="B37" t="s">
        <v>47</v>
      </c>
      <c r="E37">
        <v>25</v>
      </c>
      <c r="F37" t="s">
        <v>60</v>
      </c>
      <c r="I37">
        <v>25</v>
      </c>
      <c r="J37" t="s">
        <v>67</v>
      </c>
    </row>
    <row r="38" spans="1:12">
      <c r="A38">
        <v>26</v>
      </c>
      <c r="B38" s="17" t="s">
        <v>37</v>
      </c>
      <c r="I38">
        <v>26</v>
      </c>
      <c r="J38" t="s">
        <v>3</v>
      </c>
    </row>
    <row r="39" spans="1:12">
      <c r="A39">
        <v>27</v>
      </c>
      <c r="B39" t="s">
        <v>42</v>
      </c>
      <c r="I39">
        <v>27</v>
      </c>
      <c r="J39" s="17" t="s">
        <v>67</v>
      </c>
    </row>
    <row r="40" spans="1:12">
      <c r="A40">
        <v>28</v>
      </c>
      <c r="B40" t="s">
        <v>56</v>
      </c>
      <c r="I40">
        <v>28</v>
      </c>
      <c r="J40" t="s">
        <v>39</v>
      </c>
    </row>
    <row r="41" spans="1:12">
      <c r="A41">
        <v>29</v>
      </c>
      <c r="B41" t="s">
        <v>42</v>
      </c>
    </row>
    <row r="42" spans="1:12">
      <c r="A42">
        <v>30</v>
      </c>
      <c r="B42" t="s">
        <v>51</v>
      </c>
    </row>
    <row r="43" spans="1:12">
      <c r="A43">
        <v>31</v>
      </c>
      <c r="B43" t="s">
        <v>42</v>
      </c>
    </row>
    <row r="44" spans="1:12">
      <c r="A44">
        <v>32</v>
      </c>
      <c r="B44" s="17" t="s">
        <v>37</v>
      </c>
    </row>
    <row r="45" spans="1:12">
      <c r="A45">
        <v>33</v>
      </c>
      <c r="B45" t="s">
        <v>42</v>
      </c>
    </row>
    <row r="46" spans="1:12">
      <c r="A46">
        <v>34</v>
      </c>
      <c r="B46" t="s">
        <v>47</v>
      </c>
    </row>
    <row r="47" spans="1:12">
      <c r="A47">
        <v>35</v>
      </c>
      <c r="B47" s="17" t="s">
        <v>45</v>
      </c>
    </row>
    <row r="48" spans="1:12">
      <c r="A48">
        <v>36</v>
      </c>
      <c r="B48" t="s">
        <v>42</v>
      </c>
    </row>
    <row r="49" spans="1:2">
      <c r="A49">
        <v>37</v>
      </c>
      <c r="B49" t="s">
        <v>56</v>
      </c>
    </row>
    <row r="50" spans="1:2">
      <c r="A50">
        <v>38</v>
      </c>
      <c r="B50" t="s">
        <v>42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topLeftCell="B1" workbookViewId="0">
      <selection activeCell="B13" sqref="B13"/>
    </sheetView>
  </sheetViews>
  <sheetFormatPr defaultColWidth="11" defaultRowHeight="15.75"/>
  <cols>
    <col min="1" max="1" width="2.1875" bestFit="1" customWidth="1"/>
    <col min="2" max="2" width="22.8125" bestFit="1" customWidth="1"/>
    <col min="3" max="3" width="2.1875" bestFit="1" customWidth="1"/>
    <col min="4" max="4" width="30.3125" bestFit="1" customWidth="1"/>
    <col min="5" max="5" width="2.1875" bestFit="1" customWidth="1"/>
    <col min="6" max="6" width="22.5" bestFit="1" customWidth="1"/>
    <col min="7" max="7" width="2.1875" bestFit="1" customWidth="1"/>
    <col min="8" max="8" width="25" bestFit="1" customWidth="1"/>
    <col min="9" max="9" width="2.1875" bestFit="1" customWidth="1"/>
    <col min="10" max="10" width="24.8125" bestFit="1" customWidth="1"/>
  </cols>
  <sheetData>
    <row r="1" spans="1:10" ht="21.4" thickBot="1">
      <c r="B1" s="116" t="s">
        <v>407</v>
      </c>
      <c r="D1" s="115" t="s">
        <v>443</v>
      </c>
      <c r="F1" s="119" t="s">
        <v>357</v>
      </c>
      <c r="H1" s="120" t="s">
        <v>408</v>
      </c>
      <c r="J1" s="121" t="s">
        <v>409</v>
      </c>
    </row>
    <row r="2" spans="1:10">
      <c r="A2" s="78">
        <v>1</v>
      </c>
      <c r="B2" t="s">
        <v>56</v>
      </c>
      <c r="C2" s="78">
        <v>1</v>
      </c>
      <c r="D2" t="s">
        <v>47</v>
      </c>
      <c r="E2" s="78">
        <v>1</v>
      </c>
      <c r="F2" t="s">
        <v>67</v>
      </c>
      <c r="G2" s="78">
        <v>1</v>
      </c>
      <c r="H2" t="s">
        <v>46</v>
      </c>
      <c r="I2" s="78">
        <v>1</v>
      </c>
      <c r="J2" t="s">
        <v>411</v>
      </c>
    </row>
    <row r="3" spans="1:10">
      <c r="A3" s="78">
        <v>2</v>
      </c>
      <c r="B3" t="s">
        <v>64</v>
      </c>
      <c r="C3" s="78">
        <v>2</v>
      </c>
      <c r="D3" t="s">
        <v>38</v>
      </c>
      <c r="E3" s="78">
        <v>2</v>
      </c>
      <c r="F3" t="s">
        <v>51</v>
      </c>
      <c r="G3" s="81" t="s">
        <v>410</v>
      </c>
      <c r="H3" s="17" t="s">
        <v>39</v>
      </c>
      <c r="I3" s="78">
        <v>2</v>
      </c>
      <c r="J3" t="s">
        <v>412</v>
      </c>
    </row>
    <row r="4" spans="1:10">
      <c r="A4" s="78">
        <v>3</v>
      </c>
      <c r="B4" t="s">
        <v>45</v>
      </c>
      <c r="C4" s="78">
        <v>3</v>
      </c>
      <c r="D4" t="s">
        <v>54</v>
      </c>
      <c r="E4" s="78">
        <v>3</v>
      </c>
      <c r="F4" t="s">
        <v>52</v>
      </c>
      <c r="G4" s="78">
        <v>2</v>
      </c>
      <c r="H4" t="s">
        <v>36</v>
      </c>
      <c r="I4" s="78">
        <v>3</v>
      </c>
      <c r="J4" t="s">
        <v>413</v>
      </c>
    </row>
    <row r="5" spans="1:10">
      <c r="A5" s="78">
        <v>4</v>
      </c>
      <c r="B5" t="s">
        <v>37</v>
      </c>
      <c r="C5" s="78">
        <v>4</v>
      </c>
      <c r="D5" t="s">
        <v>63</v>
      </c>
      <c r="E5" s="78">
        <v>4</v>
      </c>
      <c r="F5" t="s">
        <v>66</v>
      </c>
      <c r="G5" s="81" t="s">
        <v>410</v>
      </c>
      <c r="H5" s="17" t="s">
        <v>54</v>
      </c>
      <c r="I5" s="78">
        <v>4</v>
      </c>
      <c r="J5" t="s">
        <v>414</v>
      </c>
    </row>
    <row r="6" spans="1:10">
      <c r="A6" s="78">
        <v>5</v>
      </c>
      <c r="B6" t="s">
        <v>42</v>
      </c>
      <c r="C6" s="78">
        <v>5</v>
      </c>
      <c r="D6" t="s">
        <v>53</v>
      </c>
      <c r="E6" s="78">
        <v>5</v>
      </c>
      <c r="F6" t="s">
        <v>60</v>
      </c>
      <c r="G6" s="78">
        <v>3</v>
      </c>
      <c r="H6" t="s">
        <v>42</v>
      </c>
      <c r="I6" s="78">
        <v>5</v>
      </c>
      <c r="J6" s="78" t="s">
        <v>416</v>
      </c>
    </row>
    <row r="7" spans="1:10">
      <c r="A7" s="78">
        <v>6</v>
      </c>
      <c r="B7" t="s">
        <v>3</v>
      </c>
      <c r="C7" s="78">
        <v>6</v>
      </c>
      <c r="D7" t="s">
        <v>59</v>
      </c>
      <c r="E7" s="78">
        <v>6</v>
      </c>
      <c r="F7" t="s">
        <v>1</v>
      </c>
      <c r="G7" s="81" t="s">
        <v>410</v>
      </c>
      <c r="H7" s="17" t="s">
        <v>41</v>
      </c>
      <c r="I7" s="78">
        <v>6</v>
      </c>
    </row>
    <row r="8" spans="1:10">
      <c r="G8" s="78">
        <v>4</v>
      </c>
      <c r="H8" t="s">
        <v>42</v>
      </c>
    </row>
    <row r="9" spans="1:10">
      <c r="G9" s="81" t="s">
        <v>410</v>
      </c>
      <c r="H9" s="17" t="s">
        <v>41</v>
      </c>
    </row>
    <row r="10" spans="1:10">
      <c r="G10" s="78">
        <v>5</v>
      </c>
      <c r="H10" t="s">
        <v>63</v>
      </c>
    </row>
    <row r="11" spans="1:10">
      <c r="G11" s="81" t="s">
        <v>410</v>
      </c>
      <c r="H11" s="17" t="s">
        <v>61</v>
      </c>
    </row>
    <row r="12" spans="1:10">
      <c r="G12" s="78">
        <v>6</v>
      </c>
      <c r="H12" t="s">
        <v>63</v>
      </c>
    </row>
    <row r="13" spans="1:10">
      <c r="G13" s="81" t="s">
        <v>410</v>
      </c>
      <c r="H13" s="17" t="s">
        <v>61</v>
      </c>
    </row>
    <row r="35" spans="11:11">
      <c r="K35" s="7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4"/>
  <sheetViews>
    <sheetView topLeftCell="A39" workbookViewId="0">
      <selection activeCell="H62" sqref="H62"/>
    </sheetView>
  </sheetViews>
  <sheetFormatPr defaultColWidth="11" defaultRowHeight="15.75"/>
  <cols>
    <col min="1" max="1" width="5.1875" bestFit="1" customWidth="1"/>
    <col min="2" max="2" width="17.3125" bestFit="1" customWidth="1"/>
    <col min="3" max="3" width="7.6875" customWidth="1"/>
    <col min="4" max="4" width="8.8125" customWidth="1"/>
    <col min="5" max="5" width="16.5" style="79" customWidth="1"/>
  </cols>
  <sheetData>
    <row r="1" spans="1:5" ht="16.149999999999999" thickBot="1">
      <c r="A1" s="80" t="s">
        <v>401</v>
      </c>
      <c r="B1" t="s">
        <v>402</v>
      </c>
      <c r="C1" t="s">
        <v>403</v>
      </c>
      <c r="D1" t="s">
        <v>404</v>
      </c>
      <c r="E1" s="79" t="s">
        <v>405</v>
      </c>
    </row>
    <row r="2" spans="1:5">
      <c r="A2" s="78">
        <f>RANK(Table18[[#This Row],[Win Percentage]],E:E)</f>
        <v>1</v>
      </c>
      <c r="B2" t="s">
        <v>791</v>
      </c>
      <c r="C2">
        <f>SUM(VLOOKUP(B2,'Season 1 Stats'!$A$2:$C$500,2,FALSE),VLOOKUP(B2,'Season 2 Stats'!$A$2:$C$500,2,FALSE),VLOOKUP(B2,'Season 3 Stats'!$A$2:$C$500,2,FALSE),VLOOKUP(B2,'Season 4 Stats'!$A$2:$C$500,2,FALSE),VLOOKUP(B2,'Season 5 Stats'!$A$2:$C$500,2,FALSE),VLOOKUP(B2,'Season 6 Stats'!$A$2:$C$505,2,FALSE),VLOOKUP(B2,'Season 7 Stats'!$A$2:$C$508,2,FALSE))</f>
        <v>6</v>
      </c>
      <c r="D2">
        <f>SUM(VLOOKUP(B2,'Season 1 Stats'!$A$2:$C$500,3,FALSE),VLOOKUP(B2,'Season 2 Stats'!$A$2:$C$500,3,FALSE),VLOOKUP(B2,'Season 3 Stats'!$A$2:$C$500,3,FALSE),VLOOKUP(B2,'Season 4 Stats'!$A$2:$C$500,3,FALSE),VLOOKUP(B2,'Season 5 Stats'!$A$2:$C$500,3,FALSE),VLOOKUP(B2,'Season 6 Stats'!$A$2:$C$505,3,FALSE),VLOOKUP(B2,'Season 7 Stats'!$A$2:$C$508,3,FALSE))</f>
        <v>2</v>
      </c>
      <c r="E2" s="79">
        <f t="shared" ref="E2:E33" si="0">IF(ISERROR(C2/(C2+D2)),0%,C2/(C2+D2))</f>
        <v>0.75</v>
      </c>
    </row>
    <row r="3" spans="1:5">
      <c r="A3" s="78">
        <f>RANK(Table18[[#This Row],[Win Percentage]],E:E)</f>
        <v>2</v>
      </c>
      <c r="B3" t="s">
        <v>3</v>
      </c>
      <c r="C3">
        <f>SUM(VLOOKUP(B3,'Season 1 Stats'!$A$2:$C$500,2,FALSE),VLOOKUP(B3,'Season 2 Stats'!$A$2:$C$500,2,FALSE),VLOOKUP(B3,'Season 3 Stats'!$A$2:$C$500,2,FALSE),VLOOKUP(B3,'Season 4 Stats'!$A$2:$C$500,2,FALSE),VLOOKUP(B3,'Season 5 Stats'!$A$2:$C$500,2,FALSE),VLOOKUP(B3,'Season 6 Stats'!$A$2:$C$505,2,FALSE),VLOOKUP(B3,'Season 7 Stats'!$A$2:$C$508,2,FALSE))</f>
        <v>32</v>
      </c>
      <c r="D3">
        <f>SUM(VLOOKUP(B3,'Season 1 Stats'!$A$2:$C$500,3,FALSE),VLOOKUP(B3,'Season 2 Stats'!$A$2:$C$500,3,FALSE),VLOOKUP(B3,'Season 3 Stats'!$A$2:$C$500,3,FALSE),VLOOKUP(B3,'Season 4 Stats'!$A$2:$C$500,3,FALSE),VLOOKUP(B3,'Season 5 Stats'!$A$2:$C$500,3,FALSE),VLOOKUP(B3,'Season 6 Stats'!$A$2:$C$505,3,FALSE),VLOOKUP(B3,'Season 7 Stats'!$A$2:$C$508,3,FALSE))</f>
        <v>12</v>
      </c>
      <c r="E3" s="79">
        <f t="shared" si="0"/>
        <v>0.72727272727272729</v>
      </c>
    </row>
    <row r="4" spans="1:5">
      <c r="A4" s="78">
        <f>RANK(Table18[[#This Row],[Win Percentage]],E:E)</f>
        <v>3</v>
      </c>
      <c r="B4" t="s">
        <v>56</v>
      </c>
      <c r="C4">
        <f>SUM(VLOOKUP(B4,'Season 1 Stats'!$A$2:$C$500,2,FALSE),VLOOKUP(B4,'Season 2 Stats'!$A$2:$C$500,2,FALSE),VLOOKUP(B4,'Season 3 Stats'!$A$2:$C$500,2,FALSE),VLOOKUP(B4,'Season 4 Stats'!$A$2:$C$500,2,FALSE),VLOOKUP(B4,'Season 5 Stats'!$A$2:$C$500,2,FALSE),VLOOKUP(B4,'Season 6 Stats'!$A$2:$C$505,2,FALSE),VLOOKUP(B4,'Season 7 Stats'!$A$2:$C$508,2,FALSE))</f>
        <v>132</v>
      </c>
      <c r="D4">
        <f>SUM(VLOOKUP(B4,'Season 1 Stats'!$A$2:$C$500,3,FALSE),VLOOKUP(B4,'Season 2 Stats'!$A$2:$C$500,3,FALSE),VLOOKUP(B4,'Season 3 Stats'!$A$2:$C$500,3,FALSE),VLOOKUP(B4,'Season 4 Stats'!$A$2:$C$500,3,FALSE),VLOOKUP(B4,'Season 5 Stats'!$A$2:$C$500,3,FALSE),VLOOKUP(B4,'Season 6 Stats'!$A$2:$C$505,3,FALSE),VLOOKUP(B4,'Season 7 Stats'!$A$2:$C$508,3,FALSE))</f>
        <v>51</v>
      </c>
      <c r="E4" s="79">
        <f t="shared" si="0"/>
        <v>0.72131147540983609</v>
      </c>
    </row>
    <row r="5" spans="1:5">
      <c r="A5" s="78">
        <f>RANK(Table18[[#This Row],[Win Percentage]],E:E)</f>
        <v>4</v>
      </c>
      <c r="B5" t="s">
        <v>42</v>
      </c>
      <c r="C5">
        <f>SUM(VLOOKUP(B5,'Season 1 Stats'!$A$2:$C$500,2,FALSE),VLOOKUP(B5,'Season 2 Stats'!$A$2:$C$500,2,FALSE),VLOOKUP(B5,'Season 3 Stats'!$A$2:$C$500,2,FALSE),VLOOKUP(B5,'Season 4 Stats'!$A$2:$C$500,2,FALSE),VLOOKUP(B5,'Season 5 Stats'!$A$2:$C$500,2,FALSE),VLOOKUP(B5,'Season 6 Stats'!$A$2:$C$505,2,FALSE),VLOOKUP(B5,'Season 7 Stats'!$A$2:$C$508,2,FALSE))</f>
        <v>138</v>
      </c>
      <c r="D5">
        <f>SUM(VLOOKUP(B5,'Season 1 Stats'!$A$2:$C$500,3,FALSE),VLOOKUP(B5,'Season 2 Stats'!$A$2:$C$500,3,FALSE),VLOOKUP(B5,'Season 3 Stats'!$A$2:$C$500,3,FALSE),VLOOKUP(B5,'Season 4 Stats'!$A$2:$C$500,3,FALSE),VLOOKUP(B5,'Season 5 Stats'!$A$2:$C$500,3,FALSE),VLOOKUP(B5,'Season 6 Stats'!$A$2:$C$505,3,FALSE),VLOOKUP(B5,'Season 7 Stats'!$A$2:$C$508,3,FALSE))</f>
        <v>66</v>
      </c>
      <c r="E5" s="79">
        <f t="shared" si="0"/>
        <v>0.67647058823529416</v>
      </c>
    </row>
    <row r="6" spans="1:5">
      <c r="A6" s="78">
        <f>RANK(Table18[[#This Row],[Win Percentage]],E:E)</f>
        <v>5</v>
      </c>
      <c r="B6" t="s">
        <v>532</v>
      </c>
      <c r="C6">
        <f>SUM(VLOOKUP(B6,'Season 1 Stats'!$A$2:$C$500,2,FALSE),VLOOKUP(B6,'Season 2 Stats'!$A$2:$C$500,2,FALSE),VLOOKUP(B6,'Season 3 Stats'!$A$2:$C$500,2,FALSE),VLOOKUP(B6,'Season 4 Stats'!$A$2:$C$500,2,FALSE),VLOOKUP(B6,'Season 5 Stats'!$A$2:$C$500,2,FALSE),VLOOKUP(B6,'Season 6 Stats'!$A$2:$C$505,2,FALSE),VLOOKUP(B6,'Season 7 Stats'!$A$2:$C$508,2,FALSE))</f>
        <v>31</v>
      </c>
      <c r="D6">
        <f>SUM(VLOOKUP(B6,'Season 1 Stats'!$A$2:$C$500,3,FALSE),VLOOKUP(B6,'Season 2 Stats'!$A$2:$C$500,3,FALSE),VLOOKUP(B6,'Season 3 Stats'!$A$2:$C$500,3,FALSE),VLOOKUP(B6,'Season 4 Stats'!$A$2:$C$500,3,FALSE),VLOOKUP(B6,'Season 5 Stats'!$A$2:$C$500,3,FALSE),VLOOKUP(B6,'Season 6 Stats'!$A$2:$C$505,3,FALSE),VLOOKUP(B6,'Season 7 Stats'!$A$2:$C$508,3,FALSE))</f>
        <v>15</v>
      </c>
      <c r="E6" s="79">
        <f t="shared" si="0"/>
        <v>0.67391304347826086</v>
      </c>
    </row>
    <row r="7" spans="1:5">
      <c r="A7" s="78">
        <f>RANK(Table18[[#This Row],[Win Percentage]],E:E)</f>
        <v>6</v>
      </c>
      <c r="B7" t="s">
        <v>14</v>
      </c>
      <c r="C7">
        <f>SUM(VLOOKUP(B7,'Season 1 Stats'!$A$2:$C$500,2,FALSE),VLOOKUP(B7,'Season 2 Stats'!$A$2:$C$500,2,FALSE),VLOOKUP(B7,'Season 3 Stats'!$A$2:$C$500,2,FALSE),VLOOKUP(B7,'Season 4 Stats'!$A$2:$C$500,2,FALSE),VLOOKUP(B7,'Season 5 Stats'!$A$2:$C$500,2,FALSE),VLOOKUP(B7,'Season 6 Stats'!$A$2:$C$505,2,FALSE),VLOOKUP(B7,'Season 7 Stats'!$A$2:$C$508,2,FALSE))</f>
        <v>27</v>
      </c>
      <c r="D7">
        <f>SUM(VLOOKUP(B7,'Season 1 Stats'!$A$2:$C$500,3,FALSE),VLOOKUP(B7,'Season 2 Stats'!$A$2:$C$500,3,FALSE),VLOOKUP(B7,'Season 3 Stats'!$A$2:$C$500,3,FALSE),VLOOKUP(B7,'Season 4 Stats'!$A$2:$C$500,3,FALSE),VLOOKUP(B7,'Season 5 Stats'!$A$2:$C$500,3,FALSE),VLOOKUP(B7,'Season 6 Stats'!$A$2:$C$505,3,FALSE),VLOOKUP(B7,'Season 7 Stats'!$A$2:$C$508,3,FALSE))</f>
        <v>15</v>
      </c>
      <c r="E7" s="79">
        <f t="shared" si="0"/>
        <v>0.6428571428571429</v>
      </c>
    </row>
    <row r="8" spans="1:5">
      <c r="A8" s="78">
        <f>RANK(Table18[[#This Row],[Win Percentage]],E:E)</f>
        <v>7</v>
      </c>
      <c r="B8" t="s">
        <v>64</v>
      </c>
      <c r="C8">
        <f>SUM(VLOOKUP(B8,'Season 1 Stats'!$A$2:$C$500,2,FALSE),VLOOKUP(B8,'Season 2 Stats'!$A$2:$C$500,2,FALSE),VLOOKUP(B8,'Season 3 Stats'!$A$2:$C$500,2,FALSE),VLOOKUP(B8,'Season 4 Stats'!$A$2:$C$500,2,FALSE),VLOOKUP(B8,'Season 5 Stats'!$A$2:$C$500,2,FALSE),VLOOKUP(B8,'Season 6 Stats'!$A$2:$C$505,2,FALSE),VLOOKUP(B8,'Season 7 Stats'!$A$2:$C$508,2,FALSE))</f>
        <v>131</v>
      </c>
      <c r="D8">
        <f>SUM(VLOOKUP(B8,'Season 1 Stats'!$A$2:$C$500,3,FALSE),VLOOKUP(B8,'Season 2 Stats'!$A$2:$C$500,3,FALSE),VLOOKUP(B8,'Season 3 Stats'!$A$2:$C$500,3,FALSE),VLOOKUP(B8,'Season 4 Stats'!$A$2:$C$500,3,FALSE),VLOOKUP(B8,'Season 5 Stats'!$A$2:$C$500,3,FALSE),VLOOKUP(B8,'Season 6 Stats'!$A$2:$C$505,3,FALSE),VLOOKUP(B8,'Season 7 Stats'!$A$2:$C$508,3,FALSE))</f>
        <v>76</v>
      </c>
      <c r="E8" s="79">
        <f t="shared" si="0"/>
        <v>0.63285024154589375</v>
      </c>
    </row>
    <row r="9" spans="1:5">
      <c r="A9" s="78">
        <f>RANK(Table18[[#This Row],[Win Percentage]],E:E)</f>
        <v>8</v>
      </c>
      <c r="B9" t="s">
        <v>61</v>
      </c>
      <c r="C9">
        <f>SUM(VLOOKUP(B9,'Season 1 Stats'!$A$2:$C$500,2,FALSE),VLOOKUP(B9,'Season 2 Stats'!$A$2:$C$500,2,FALSE),VLOOKUP(B9,'Season 3 Stats'!$A$2:$C$500,2,FALSE),VLOOKUP(B9,'Season 4 Stats'!$A$2:$C$500,2,FALSE),VLOOKUP(B9,'Season 5 Stats'!$A$2:$C$500,2,FALSE),VLOOKUP(B9,'Season 6 Stats'!$A$2:$C$505,2,FALSE),VLOOKUP(B9,'Season 7 Stats'!$A$2:$C$508,2,FALSE))</f>
        <v>132</v>
      </c>
      <c r="D9">
        <f>SUM(VLOOKUP(B9,'Season 1 Stats'!$A$2:$C$500,3,FALSE),VLOOKUP(B9,'Season 2 Stats'!$A$2:$C$500,3,FALSE),VLOOKUP(B9,'Season 3 Stats'!$A$2:$C$500,3,FALSE),VLOOKUP(B9,'Season 4 Stats'!$A$2:$C$500,3,FALSE),VLOOKUP(B9,'Season 5 Stats'!$A$2:$C$500,3,FALSE),VLOOKUP(B9,'Season 6 Stats'!$A$2:$C$505,3,FALSE),VLOOKUP(B9,'Season 7 Stats'!$A$2:$C$508,3,FALSE))</f>
        <v>78</v>
      </c>
      <c r="E9" s="79">
        <f t="shared" si="0"/>
        <v>0.62857142857142856</v>
      </c>
    </row>
    <row r="10" spans="1:5">
      <c r="A10" s="78">
        <f>RANK(Table18[[#This Row],[Win Percentage]],E:E)</f>
        <v>9</v>
      </c>
      <c r="B10" t="s">
        <v>47</v>
      </c>
      <c r="C10">
        <f>SUM(VLOOKUP(B10,'Season 1 Stats'!$A$2:$C$500,2,FALSE),VLOOKUP(B10,'Season 2 Stats'!$A$2:$C$500,2,FALSE),VLOOKUP(B10,'Season 3 Stats'!$A$2:$C$500,2,FALSE),VLOOKUP(B10,'Season 4 Stats'!$A$2:$C$500,2,FALSE),VLOOKUP(B10,'Season 5 Stats'!$A$2:$C$500,2,FALSE),VLOOKUP(B10,'Season 6 Stats'!$A$2:$C$505,2,FALSE),VLOOKUP(B10,'Season 7 Stats'!$A$2:$C$508,2,FALSE))</f>
        <v>129</v>
      </c>
      <c r="D10">
        <f>SUM(VLOOKUP(B10,'Season 1 Stats'!$A$2:$C$500,3,FALSE),VLOOKUP(B10,'Season 2 Stats'!$A$2:$C$500,3,FALSE),VLOOKUP(B10,'Season 3 Stats'!$A$2:$C$500,3,FALSE),VLOOKUP(B10,'Season 4 Stats'!$A$2:$C$500,3,FALSE),VLOOKUP(B10,'Season 5 Stats'!$A$2:$C$500,3,FALSE),VLOOKUP(B10,'Season 6 Stats'!$A$2:$C$505,3,FALSE),VLOOKUP(B10,'Season 7 Stats'!$A$2:$C$508,3,FALSE))</f>
        <v>86</v>
      </c>
      <c r="E10" s="79">
        <f t="shared" si="0"/>
        <v>0.6</v>
      </c>
    </row>
    <row r="11" spans="1:5">
      <c r="A11" s="78">
        <f>RANK(Table18[[#This Row],[Win Percentage]],E:E)</f>
        <v>10</v>
      </c>
      <c r="B11" t="s">
        <v>45</v>
      </c>
      <c r="C11">
        <f>SUM(VLOOKUP(B11,'Season 1 Stats'!$A$2:$C$500,2,FALSE),VLOOKUP(B11,'Season 2 Stats'!$A$2:$C$500,2,FALSE),VLOOKUP(B11,'Season 3 Stats'!$A$2:$C$500,2,FALSE),VLOOKUP(B11,'Season 4 Stats'!$A$2:$C$500,2,FALSE),VLOOKUP(B11,'Season 5 Stats'!$A$2:$C$500,2,FALSE),VLOOKUP(B11,'Season 6 Stats'!$A$2:$C$505,2,FALSE),VLOOKUP(B11,'Season 7 Stats'!$A$2:$C$508,2,FALSE))</f>
        <v>124</v>
      </c>
      <c r="D11">
        <f>SUM(VLOOKUP(B11,'Season 1 Stats'!$A$2:$C$500,3,FALSE),VLOOKUP(B11,'Season 2 Stats'!$A$2:$C$500,3,FALSE),VLOOKUP(B11,'Season 3 Stats'!$A$2:$C$500,3,FALSE),VLOOKUP(B11,'Season 4 Stats'!$A$2:$C$500,3,FALSE),VLOOKUP(B11,'Season 5 Stats'!$A$2:$C$500,3,FALSE),VLOOKUP(B11,'Season 6 Stats'!$A$2:$C$505,3,FALSE),VLOOKUP(B11,'Season 7 Stats'!$A$2:$C$508,3,FALSE))</f>
        <v>83</v>
      </c>
      <c r="E11" s="79">
        <f t="shared" si="0"/>
        <v>0.59903381642512077</v>
      </c>
    </row>
    <row r="12" spans="1:5">
      <c r="A12" s="78">
        <f>RANK(Table18[[#This Row],[Win Percentage]],E:E)</f>
        <v>11</v>
      </c>
      <c r="B12" t="s">
        <v>7</v>
      </c>
      <c r="C12">
        <f>SUM(VLOOKUP(B12,'Season 1 Stats'!$A$2:$C$500,2,FALSE),VLOOKUP(B12,'Season 2 Stats'!$A$2:$C$500,2,FALSE),VLOOKUP(B12,'Season 3 Stats'!$A$2:$C$500,2,FALSE),VLOOKUP(B12,'Season 4 Stats'!$A$2:$C$500,2,FALSE),VLOOKUP(B12,'Season 5 Stats'!$A$2:$C$500,2,FALSE),VLOOKUP(B12,'Season 6 Stats'!$A$2:$C$505,2,FALSE),VLOOKUP(B12,'Season 7 Stats'!$A$2:$C$508,2,FALSE))</f>
        <v>25</v>
      </c>
      <c r="D12">
        <f>SUM(VLOOKUP(B12,'Season 1 Stats'!$A$2:$C$500,3,FALSE),VLOOKUP(B12,'Season 2 Stats'!$A$2:$C$500,3,FALSE),VLOOKUP(B12,'Season 3 Stats'!$A$2:$C$500,3,FALSE),VLOOKUP(B12,'Season 4 Stats'!$A$2:$C$500,3,FALSE),VLOOKUP(B12,'Season 5 Stats'!$A$2:$C$500,3,FALSE),VLOOKUP(B12,'Season 6 Stats'!$A$2:$C$505,3,FALSE),VLOOKUP(B12,'Season 7 Stats'!$A$2:$C$508,3,FALSE))</f>
        <v>17</v>
      </c>
      <c r="E12" s="79">
        <f t="shared" si="0"/>
        <v>0.59523809523809523</v>
      </c>
    </row>
    <row r="13" spans="1:5">
      <c r="A13" s="78">
        <f>RANK(Table18[[#This Row],[Win Percentage]],E:E)</f>
        <v>12</v>
      </c>
      <c r="B13" t="s">
        <v>19</v>
      </c>
      <c r="C13">
        <f>SUM(VLOOKUP(B13,'Season 1 Stats'!$A$2:$C$500,2,FALSE),VLOOKUP(B13,'Season 2 Stats'!$A$2:$C$500,2,FALSE),VLOOKUP(B13,'Season 3 Stats'!$A$2:$C$500,2,FALSE),VLOOKUP(B13,'Season 4 Stats'!$A$2:$C$500,2,FALSE),VLOOKUP(B13,'Season 5 Stats'!$A$2:$C$500,2,FALSE),VLOOKUP(B13,'Season 6 Stats'!$A$2:$C$505,2,FALSE),VLOOKUP(B13,'Season 7 Stats'!$A$2:$C$508,2,FALSE))</f>
        <v>25</v>
      </c>
      <c r="D13">
        <f>SUM(VLOOKUP(B13,'Season 1 Stats'!$A$2:$C$500,3,FALSE),VLOOKUP(B13,'Season 2 Stats'!$A$2:$C$500,3,FALSE),VLOOKUP(B13,'Season 3 Stats'!$A$2:$C$500,3,FALSE),VLOOKUP(B13,'Season 4 Stats'!$A$2:$C$500,3,FALSE),VLOOKUP(B13,'Season 5 Stats'!$A$2:$C$500,3,FALSE),VLOOKUP(B13,'Season 6 Stats'!$A$2:$C$505,3,FALSE),VLOOKUP(B13,'Season 7 Stats'!$A$2:$C$508,3,FALSE))</f>
        <v>18</v>
      </c>
      <c r="E13" s="79">
        <f t="shared" si="0"/>
        <v>0.58139534883720934</v>
      </c>
    </row>
    <row r="14" spans="1:5">
      <c r="A14" s="78">
        <f>RANK(Table18[[#This Row],[Win Percentage]],E:E)</f>
        <v>13</v>
      </c>
      <c r="B14" t="s">
        <v>38</v>
      </c>
      <c r="C14">
        <f>SUM(VLOOKUP(B14,'Season 1 Stats'!$A$2:$C$500,2,FALSE),VLOOKUP(B14,'Season 2 Stats'!$A$2:$C$500,2,FALSE),VLOOKUP(B14,'Season 3 Stats'!$A$2:$C$500,2,FALSE),VLOOKUP(B14,'Season 4 Stats'!$A$2:$C$500,2,FALSE),VLOOKUP(B14,'Season 5 Stats'!$A$2:$C$500,2,FALSE),VLOOKUP(B14,'Season 6 Stats'!$A$2:$C$505,2,FALSE),VLOOKUP(B14,'Season 7 Stats'!$A$2:$C$508,2,FALSE))</f>
        <v>117</v>
      </c>
      <c r="D14">
        <f>SUM(VLOOKUP(B14,'Season 1 Stats'!$A$2:$C$500,3,FALSE),VLOOKUP(B14,'Season 2 Stats'!$A$2:$C$500,3,FALSE),VLOOKUP(B14,'Season 3 Stats'!$A$2:$C$500,3,FALSE),VLOOKUP(B14,'Season 4 Stats'!$A$2:$C$500,3,FALSE),VLOOKUP(B14,'Season 5 Stats'!$A$2:$C$500,3,FALSE),VLOOKUP(B14,'Season 6 Stats'!$A$2:$C$505,3,FALSE),VLOOKUP(B14,'Season 7 Stats'!$A$2:$C$508,3,FALSE))</f>
        <v>85</v>
      </c>
      <c r="E14" s="79">
        <f t="shared" si="0"/>
        <v>0.57920792079207917</v>
      </c>
    </row>
    <row r="15" spans="1:5">
      <c r="A15" s="78">
        <f>RANK(Table18[[#This Row],[Win Percentage]],E:E)</f>
        <v>14</v>
      </c>
      <c r="B15" t="s">
        <v>37</v>
      </c>
      <c r="C15">
        <f>SUM(VLOOKUP(B15,'Season 1 Stats'!$A$2:$C$500,2,FALSE),VLOOKUP(B15,'Season 2 Stats'!$A$2:$C$500,2,FALSE),VLOOKUP(B15,'Season 3 Stats'!$A$2:$C$500,2,FALSE),VLOOKUP(B15,'Season 4 Stats'!$A$2:$C$500,2,FALSE),VLOOKUP(B15,'Season 5 Stats'!$A$2:$C$500,2,FALSE),VLOOKUP(B15,'Season 6 Stats'!$A$2:$C$505,2,FALSE),VLOOKUP(B15,'Season 7 Stats'!$A$2:$C$508,2,FALSE))</f>
        <v>128</v>
      </c>
      <c r="D15">
        <f>SUM(VLOOKUP(B15,'Season 1 Stats'!$A$2:$C$500,3,FALSE),VLOOKUP(B15,'Season 2 Stats'!$A$2:$C$500,3,FALSE),VLOOKUP(B15,'Season 3 Stats'!$A$2:$C$500,3,FALSE),VLOOKUP(B15,'Season 4 Stats'!$A$2:$C$500,3,FALSE),VLOOKUP(B15,'Season 5 Stats'!$A$2:$C$500,3,FALSE),VLOOKUP(B15,'Season 6 Stats'!$A$2:$C$505,3,FALSE),VLOOKUP(B15,'Season 7 Stats'!$A$2:$C$508,3,FALSE))</f>
        <v>94</v>
      </c>
      <c r="E15" s="79">
        <f t="shared" si="0"/>
        <v>0.57657657657657657</v>
      </c>
    </row>
    <row r="16" spans="1:5">
      <c r="A16" s="78">
        <f>RANK(Table18[[#This Row],[Win Percentage]],E:E)</f>
        <v>15</v>
      </c>
      <c r="B16" t="s">
        <v>53</v>
      </c>
      <c r="C16">
        <f>SUM(VLOOKUP(B16,'Season 1 Stats'!$A$2:$C$500,2,FALSE),VLOOKUP(B16,'Season 2 Stats'!$A$2:$C$500,2,FALSE),VLOOKUP(B16,'Season 3 Stats'!$A$2:$C$500,2,FALSE),VLOOKUP(B16,'Season 4 Stats'!$A$2:$C$500,2,FALSE),VLOOKUP(B16,'Season 5 Stats'!$A$2:$C$500,2,FALSE),VLOOKUP(B16,'Season 6 Stats'!$A$2:$C$505,2,FALSE),VLOOKUP(B16,'Season 7 Stats'!$A$2:$C$508,2,FALSE))</f>
        <v>134</v>
      </c>
      <c r="D16">
        <f>SUM(VLOOKUP(B16,'Season 1 Stats'!$A$2:$C$500,3,FALSE),VLOOKUP(B16,'Season 2 Stats'!$A$2:$C$500,3,FALSE),VLOOKUP(B16,'Season 3 Stats'!$A$2:$C$500,3,FALSE),VLOOKUP(B16,'Season 4 Stats'!$A$2:$C$500,3,FALSE),VLOOKUP(B16,'Season 5 Stats'!$A$2:$C$500,3,FALSE),VLOOKUP(B16,'Season 6 Stats'!$A$2:$C$505,3,FALSE),VLOOKUP(B16,'Season 7 Stats'!$A$2:$C$508,3,FALSE))</f>
        <v>103</v>
      </c>
      <c r="E16" s="79">
        <f t="shared" si="0"/>
        <v>0.56540084388185652</v>
      </c>
    </row>
    <row r="17" spans="1:5">
      <c r="A17" s="78">
        <f>RANK(Table18[[#This Row],[Win Percentage]],E:E)</f>
        <v>16</v>
      </c>
      <c r="B17" t="s">
        <v>49</v>
      </c>
      <c r="C17">
        <f>SUM(VLOOKUP(B17,'Season 1 Stats'!$A$2:$C$500,2,FALSE),VLOOKUP(B17,'Season 2 Stats'!$A$2:$C$500,2,FALSE),VLOOKUP(B17,'Season 3 Stats'!$A$2:$C$500,2,FALSE),VLOOKUP(B17,'Season 4 Stats'!$A$2:$C$500,2,FALSE),VLOOKUP(B17,'Season 5 Stats'!$A$2:$C$500,2,FALSE),VLOOKUP(B17,'Season 6 Stats'!$A$2:$C$505,2,FALSE),VLOOKUP(B17,'Season 7 Stats'!$A$2:$C$508,2,FALSE))</f>
        <v>114</v>
      </c>
      <c r="D17">
        <f>SUM(VLOOKUP(B17,'Season 1 Stats'!$A$2:$C$500,3,FALSE),VLOOKUP(B17,'Season 2 Stats'!$A$2:$C$500,3,FALSE),VLOOKUP(B17,'Season 3 Stats'!$A$2:$C$500,3,FALSE),VLOOKUP(B17,'Season 4 Stats'!$A$2:$C$500,3,FALSE),VLOOKUP(B17,'Season 5 Stats'!$A$2:$C$500,3,FALSE),VLOOKUP(B17,'Season 6 Stats'!$A$2:$C$505,3,FALSE),VLOOKUP(B17,'Season 7 Stats'!$A$2:$C$508,3,FALSE))</f>
        <v>93</v>
      </c>
      <c r="E17" s="79">
        <f t="shared" si="0"/>
        <v>0.55072463768115942</v>
      </c>
    </row>
    <row r="18" spans="1:5">
      <c r="A18" s="78">
        <f>RANK(Table18[[#This Row],[Win Percentage]],E:E)</f>
        <v>17</v>
      </c>
      <c r="B18" t="s">
        <v>63</v>
      </c>
      <c r="C18">
        <f>SUM(VLOOKUP(B18,'Season 1 Stats'!$A$2:$C$500,2,FALSE),VLOOKUP(B18,'Season 2 Stats'!$A$2:$C$500,2,FALSE),VLOOKUP(B18,'Season 3 Stats'!$A$2:$C$500,2,FALSE),VLOOKUP(B18,'Season 4 Stats'!$A$2:$C$500,2,FALSE),VLOOKUP(B18,'Season 5 Stats'!$A$2:$C$500,2,FALSE),VLOOKUP(B18,'Season 6 Stats'!$A$2:$C$505,2,FALSE),VLOOKUP(B18,'Season 7 Stats'!$A$2:$C$508,2,FALSE))</f>
        <v>115</v>
      </c>
      <c r="D18">
        <f>SUM(VLOOKUP(B18,'Season 1 Stats'!$A$2:$C$500,3,FALSE),VLOOKUP(B18,'Season 2 Stats'!$A$2:$C$500,3,FALSE),VLOOKUP(B18,'Season 3 Stats'!$A$2:$C$500,3,FALSE),VLOOKUP(B18,'Season 4 Stats'!$A$2:$C$500,3,FALSE),VLOOKUP(B18,'Season 5 Stats'!$A$2:$C$500,3,FALSE),VLOOKUP(B18,'Season 6 Stats'!$A$2:$C$505,3,FALSE),VLOOKUP(B18,'Season 7 Stats'!$A$2:$C$508,3,FALSE))</f>
        <v>95</v>
      </c>
      <c r="E18" s="79">
        <f t="shared" si="0"/>
        <v>0.54761904761904767</v>
      </c>
    </row>
    <row r="19" spans="1:5">
      <c r="A19" s="78">
        <f>RANK(Table18[[#This Row],[Win Percentage]],E:E)</f>
        <v>17</v>
      </c>
      <c r="B19" t="s">
        <v>446</v>
      </c>
      <c r="C19">
        <f>SUM(VLOOKUP(B19,'Season 1 Stats'!$A$2:$C$500,2,FALSE),VLOOKUP(B19,'Season 2 Stats'!$A$2:$C$500,2,FALSE),VLOOKUP(B19,'Season 3 Stats'!$A$2:$C$500,2,FALSE),VLOOKUP(B19,'Season 4 Stats'!$A$2:$C$500,2,FALSE),VLOOKUP(B19,'Season 5 Stats'!$A$2:$C$500,2,FALSE),VLOOKUP(B19,'Season 6 Stats'!$A$2:$C$505,2,FALSE),VLOOKUP(B19,'Season 7 Stats'!$A$2:$C$508,2,FALSE))</f>
        <v>23</v>
      </c>
      <c r="D19">
        <f>SUM(VLOOKUP(B19,'Season 1 Stats'!$A$2:$C$500,3,FALSE),VLOOKUP(B19,'Season 2 Stats'!$A$2:$C$500,3,FALSE),VLOOKUP(B19,'Season 3 Stats'!$A$2:$C$500,3,FALSE),VLOOKUP(B19,'Season 4 Stats'!$A$2:$C$500,3,FALSE),VLOOKUP(B19,'Season 5 Stats'!$A$2:$C$500,3,FALSE),VLOOKUP(B19,'Season 6 Stats'!$A$2:$C$505,3,FALSE),VLOOKUP(B19,'Season 7 Stats'!$A$2:$C$508,3,FALSE))</f>
        <v>19</v>
      </c>
      <c r="E19" s="79">
        <f t="shared" si="0"/>
        <v>0.54761904761904767</v>
      </c>
    </row>
    <row r="20" spans="1:5">
      <c r="A20" s="78">
        <f>RANK(Table18[[#This Row],[Win Percentage]],E:E)</f>
        <v>19</v>
      </c>
      <c r="B20" t="s">
        <v>58</v>
      </c>
      <c r="C20">
        <f>SUM(VLOOKUP(B20,'Season 1 Stats'!$A$2:$C$500,2,FALSE),VLOOKUP(B20,'Season 2 Stats'!$A$2:$C$500,2,FALSE),VLOOKUP(B20,'Season 3 Stats'!$A$2:$C$500,2,FALSE),VLOOKUP(B20,'Season 4 Stats'!$A$2:$C$500,2,FALSE),VLOOKUP(B20,'Season 5 Stats'!$A$2:$C$500,2,FALSE),VLOOKUP(B20,'Season 6 Stats'!$A$2:$C$505,2,FALSE),VLOOKUP(B20,'Season 7 Stats'!$A$2:$C$508,2,FALSE))</f>
        <v>100</v>
      </c>
      <c r="D20">
        <f>SUM(VLOOKUP(B20,'Season 1 Stats'!$A$2:$C$500,3,FALSE),VLOOKUP(B20,'Season 2 Stats'!$A$2:$C$500,3,FALSE),VLOOKUP(B20,'Season 3 Stats'!$A$2:$C$500,3,FALSE),VLOOKUP(B20,'Season 4 Stats'!$A$2:$C$500,3,FALSE),VLOOKUP(B20,'Season 5 Stats'!$A$2:$C$500,3,FALSE),VLOOKUP(B20,'Season 6 Stats'!$A$2:$C$505,3,FALSE),VLOOKUP(B20,'Season 7 Stats'!$A$2:$C$508,3,FALSE))</f>
        <v>84</v>
      </c>
      <c r="E20" s="79">
        <f t="shared" si="0"/>
        <v>0.54347826086956519</v>
      </c>
    </row>
    <row r="21" spans="1:5">
      <c r="A21" s="78">
        <f>RANK(Table18[[#This Row],[Win Percentage]],E:E)</f>
        <v>20</v>
      </c>
      <c r="B21" t="s">
        <v>66</v>
      </c>
      <c r="C21">
        <f>SUM(VLOOKUP(B21,'Season 1 Stats'!$A$2:$C$500,2,FALSE),VLOOKUP(B21,'Season 2 Stats'!$A$2:$C$500,2,FALSE),VLOOKUP(B21,'Season 3 Stats'!$A$2:$C$500,2,FALSE),VLOOKUP(B21,'Season 4 Stats'!$A$2:$C$500,2,FALSE),VLOOKUP(B21,'Season 5 Stats'!$A$2:$C$500,2,FALSE),VLOOKUP(B21,'Season 6 Stats'!$A$2:$C$505,2,FALSE),VLOOKUP(B21,'Season 7 Stats'!$A$2:$C$508,2,FALSE))</f>
        <v>94</v>
      </c>
      <c r="D21">
        <f>SUM(VLOOKUP(B21,'Season 1 Stats'!$A$2:$C$500,3,FALSE),VLOOKUP(B21,'Season 2 Stats'!$A$2:$C$500,3,FALSE),VLOOKUP(B21,'Season 3 Stats'!$A$2:$C$500,3,FALSE),VLOOKUP(B21,'Season 4 Stats'!$A$2:$C$500,3,FALSE),VLOOKUP(B21,'Season 5 Stats'!$A$2:$C$500,3,FALSE),VLOOKUP(B21,'Season 6 Stats'!$A$2:$C$505,3,FALSE),VLOOKUP(B21,'Season 7 Stats'!$A$2:$C$508,3,FALSE))</f>
        <v>80</v>
      </c>
      <c r="E21" s="79">
        <f t="shared" si="0"/>
        <v>0.54022988505747127</v>
      </c>
    </row>
    <row r="22" spans="1:5">
      <c r="A22" s="78">
        <f>RANK(Table18[[#This Row],[Win Percentage]],E:E)</f>
        <v>21</v>
      </c>
      <c r="B22" t="s">
        <v>84</v>
      </c>
      <c r="C22">
        <f>SUM(VLOOKUP(B22,'Season 1 Stats'!$A$2:$C$500,2,FALSE),VLOOKUP(B22,'Season 2 Stats'!$A$2:$C$500,2,FALSE),VLOOKUP(B22,'Season 3 Stats'!$A$2:$C$500,2,FALSE),VLOOKUP(B22,'Season 4 Stats'!$A$2:$C$500,2,FALSE),VLOOKUP(B22,'Season 5 Stats'!$A$2:$C$500,2,FALSE),VLOOKUP(B22,'Season 6 Stats'!$A$2:$C$505,2,FALSE),VLOOKUP(B22,'Season 7 Stats'!$A$2:$C$508,2,FALSE))</f>
        <v>116</v>
      </c>
      <c r="D22">
        <f>SUM(VLOOKUP(B22,'Season 1 Stats'!$A$2:$C$500,3,FALSE),VLOOKUP(B22,'Season 2 Stats'!$A$2:$C$500,3,FALSE),VLOOKUP(B22,'Season 3 Stats'!$A$2:$C$500,3,FALSE),VLOOKUP(B22,'Season 4 Stats'!$A$2:$C$500,3,FALSE),VLOOKUP(B22,'Season 5 Stats'!$A$2:$C$500,3,FALSE),VLOOKUP(B22,'Season 6 Stats'!$A$2:$C$505,3,FALSE),VLOOKUP(B22,'Season 7 Stats'!$A$2:$C$508,3,FALSE))</f>
        <v>99</v>
      </c>
      <c r="E22" s="79">
        <f t="shared" si="0"/>
        <v>0.53953488372093028</v>
      </c>
    </row>
    <row r="23" spans="1:5">
      <c r="A23" s="78">
        <f>RANK(Table18[[#This Row],[Win Percentage]],E:E)</f>
        <v>22</v>
      </c>
      <c r="B23" t="s">
        <v>78</v>
      </c>
      <c r="C23">
        <f>SUM(VLOOKUP(B23,'Season 1 Stats'!$A$2:$C$500,2,FALSE),VLOOKUP(B23,'Season 2 Stats'!$A$2:$C$500,2,FALSE),VLOOKUP(B23,'Season 3 Stats'!$A$2:$C$500,2,FALSE),VLOOKUP(B23,'Season 4 Stats'!$A$2:$C$500,2,FALSE),VLOOKUP(B23,'Season 5 Stats'!$A$2:$C$500,2,FALSE),VLOOKUP(B23,'Season 6 Stats'!$A$2:$C$505,2,FALSE),VLOOKUP(B23,'Season 7 Stats'!$A$2:$C$508,2,FALSE))</f>
        <v>25</v>
      </c>
      <c r="D23">
        <f>SUM(VLOOKUP(B23,'Season 1 Stats'!$A$2:$C$500,3,FALSE),VLOOKUP(B23,'Season 2 Stats'!$A$2:$C$500,3,FALSE),VLOOKUP(B23,'Season 3 Stats'!$A$2:$C$500,3,FALSE),VLOOKUP(B23,'Season 4 Stats'!$A$2:$C$500,3,FALSE),VLOOKUP(B23,'Season 5 Stats'!$A$2:$C$500,3,FALSE),VLOOKUP(B23,'Season 6 Stats'!$A$2:$C$505,3,FALSE),VLOOKUP(B23,'Season 7 Stats'!$A$2:$C$508,3,FALSE))</f>
        <v>22</v>
      </c>
      <c r="E23" s="79">
        <f t="shared" si="0"/>
        <v>0.53191489361702127</v>
      </c>
    </row>
    <row r="24" spans="1:5">
      <c r="A24" s="78">
        <f>RANK(Table18[[#This Row],[Win Percentage]],E:E)</f>
        <v>24</v>
      </c>
      <c r="B24" t="s">
        <v>55</v>
      </c>
      <c r="C24">
        <f>SUM(VLOOKUP(B24,'Season 1 Stats'!$A$2:$C$500,2,FALSE),VLOOKUP(B24,'Season 2 Stats'!$A$2:$C$500,2,FALSE),VLOOKUP(B24,'Season 3 Stats'!$A$2:$C$500,2,FALSE),VLOOKUP(B24,'Season 4 Stats'!$A$2:$C$500,2,FALSE),VLOOKUP(B24,'Season 5 Stats'!$A$2:$C$500,2,FALSE),VLOOKUP(B24,'Season 6 Stats'!$A$2:$C$505,2,FALSE),VLOOKUP(B24,'Season 7 Stats'!$A$2:$C$508,2,FALSE))</f>
        <v>103</v>
      </c>
      <c r="D24">
        <f>SUM(VLOOKUP(B24,'Season 1 Stats'!$A$2:$C$500,3,FALSE),VLOOKUP(B24,'Season 2 Stats'!$A$2:$C$500,3,FALSE),VLOOKUP(B24,'Season 3 Stats'!$A$2:$C$500,3,FALSE),VLOOKUP(B24,'Season 4 Stats'!$A$2:$C$500,3,FALSE),VLOOKUP(B24,'Season 5 Stats'!$A$2:$C$500,3,FALSE),VLOOKUP(B24,'Season 6 Stats'!$A$2:$C$505,3,FALSE),VLOOKUP(B24,'Season 7 Stats'!$A$2:$C$508,3,FALSE))</f>
        <v>94</v>
      </c>
      <c r="E24" s="79">
        <f t="shared" si="0"/>
        <v>0.52284263959390864</v>
      </c>
    </row>
    <row r="25" spans="1:5">
      <c r="A25" s="78">
        <f>RANK(Table18[[#This Row],[Win Percentage]],E:E)</f>
        <v>23</v>
      </c>
      <c r="B25" t="s">
        <v>51</v>
      </c>
      <c r="C25">
        <f>SUM(VLOOKUP(B25,'Season 1 Stats'!$A$2:$C$500,2,FALSE),VLOOKUP(B25,'Season 2 Stats'!$A$2:$C$500,2,FALSE),VLOOKUP(B25,'Season 3 Stats'!$A$2:$C$500,2,FALSE),VLOOKUP(B25,'Season 4 Stats'!$A$2:$C$500,2,FALSE),VLOOKUP(B25,'Season 5 Stats'!$A$2:$C$500,2,FALSE),VLOOKUP(B25,'Season 6 Stats'!$A$2:$C$505,2,FALSE),VLOOKUP(B25,'Season 7 Stats'!$A$2:$C$508,2,FALSE))</f>
        <v>105</v>
      </c>
      <c r="D25">
        <f>SUM(VLOOKUP(B25,'Season 1 Stats'!$A$2:$C$500,3,FALSE),VLOOKUP(B25,'Season 2 Stats'!$A$2:$C$500,3,FALSE),VLOOKUP(B25,'Season 3 Stats'!$A$2:$C$500,3,FALSE),VLOOKUP(B25,'Season 4 Stats'!$A$2:$C$500,3,FALSE),VLOOKUP(B25,'Season 5 Stats'!$A$2:$C$500,3,FALSE),VLOOKUP(B25,'Season 6 Stats'!$A$2:$C$505,3,FALSE),VLOOKUP(B25,'Season 7 Stats'!$A$2:$C$508,3,FALSE))</f>
        <v>95</v>
      </c>
      <c r="E25" s="79">
        <f t="shared" si="0"/>
        <v>0.52500000000000002</v>
      </c>
    </row>
    <row r="26" spans="1:5">
      <c r="A26" s="78">
        <f>RANK(Table18[[#This Row],[Win Percentage]],E:E)</f>
        <v>25</v>
      </c>
      <c r="B26" t="s">
        <v>76</v>
      </c>
      <c r="C26">
        <f>SUM(VLOOKUP(B26,'Season 1 Stats'!$A$2:$C$500,2,FALSE),VLOOKUP(B26,'Season 2 Stats'!$A$2:$C$500,2,FALSE),VLOOKUP(B26,'Season 3 Stats'!$A$2:$C$500,2,FALSE),VLOOKUP(B26,'Season 4 Stats'!$A$2:$C$500,2,FALSE),VLOOKUP(B26,'Season 5 Stats'!$A$2:$C$500,2,FALSE),VLOOKUP(B26,'Season 6 Stats'!$A$2:$C$505,2,FALSE),VLOOKUP(B26,'Season 7 Stats'!$A$2:$C$508,2,FALSE))</f>
        <v>24</v>
      </c>
      <c r="D26">
        <f>SUM(VLOOKUP(B26,'Season 1 Stats'!$A$2:$C$500,3,FALSE),VLOOKUP(B26,'Season 2 Stats'!$A$2:$C$500,3,FALSE),VLOOKUP(B26,'Season 3 Stats'!$A$2:$C$500,3,FALSE),VLOOKUP(B26,'Season 4 Stats'!$A$2:$C$500,3,FALSE),VLOOKUP(B26,'Season 5 Stats'!$A$2:$C$500,3,FALSE),VLOOKUP(B26,'Season 6 Stats'!$A$2:$C$505,3,FALSE),VLOOKUP(B26,'Season 7 Stats'!$A$2:$C$508,3,FALSE))</f>
        <v>22</v>
      </c>
      <c r="E26" s="79">
        <f t="shared" si="0"/>
        <v>0.52173913043478259</v>
      </c>
    </row>
    <row r="27" spans="1:5">
      <c r="A27" s="78">
        <f>RANK(Table18[[#This Row],[Win Percentage]],E:E)</f>
        <v>26</v>
      </c>
      <c r="B27" t="s">
        <v>46</v>
      </c>
      <c r="C27">
        <f>SUM(VLOOKUP(B27,'Season 1 Stats'!$A$2:$C$500,2,FALSE),VLOOKUP(B27,'Season 2 Stats'!$A$2:$C$500,2,FALSE),VLOOKUP(B27,'Season 3 Stats'!$A$2:$C$500,2,FALSE),VLOOKUP(B27,'Season 4 Stats'!$A$2:$C$500,2,FALSE),VLOOKUP(B27,'Season 5 Stats'!$A$2:$C$500,2,FALSE),VLOOKUP(B27,'Season 6 Stats'!$A$2:$C$505,2,FALSE),VLOOKUP(B27,'Season 7 Stats'!$A$2:$C$508,2,FALSE))</f>
        <v>110</v>
      </c>
      <c r="D27">
        <f>SUM(VLOOKUP(B27,'Season 1 Stats'!$A$2:$C$500,3,FALSE),VLOOKUP(B27,'Season 2 Stats'!$A$2:$C$500,3,FALSE),VLOOKUP(B27,'Season 3 Stats'!$A$2:$C$500,3,FALSE),VLOOKUP(B27,'Season 4 Stats'!$A$2:$C$500,3,FALSE),VLOOKUP(B27,'Season 5 Stats'!$A$2:$C$500,3,FALSE),VLOOKUP(B27,'Season 6 Stats'!$A$2:$C$505,3,FALSE),VLOOKUP(B27,'Season 7 Stats'!$A$2:$C$508,3,FALSE))</f>
        <v>103</v>
      </c>
      <c r="E27" s="79">
        <f t="shared" si="0"/>
        <v>0.51643192488262912</v>
      </c>
    </row>
    <row r="28" spans="1:5">
      <c r="A28" s="78">
        <f>RANK(Table18[[#This Row],[Win Percentage]],E:E)</f>
        <v>27</v>
      </c>
      <c r="B28" t="s">
        <v>2</v>
      </c>
      <c r="C28">
        <f>SUM(VLOOKUP(B28,'Season 1 Stats'!$A$2:$C$500,2,FALSE),VLOOKUP(B28,'Season 2 Stats'!$A$2:$C$500,2,FALSE),VLOOKUP(B28,'Season 3 Stats'!$A$2:$C$500,2,FALSE),VLOOKUP(B28,'Season 4 Stats'!$A$2:$C$500,2,FALSE),VLOOKUP(B28,'Season 5 Stats'!$A$2:$C$500,2,FALSE),VLOOKUP(B28,'Season 6 Stats'!$A$2:$C$505,2,FALSE),VLOOKUP(B28,'Season 7 Stats'!$A$2:$C$508,2,FALSE))</f>
        <v>24</v>
      </c>
      <c r="D28">
        <f>SUM(VLOOKUP(B28,'Season 1 Stats'!$A$2:$C$500,3,FALSE),VLOOKUP(B28,'Season 2 Stats'!$A$2:$C$500,3,FALSE),VLOOKUP(B28,'Season 3 Stats'!$A$2:$C$500,3,FALSE),VLOOKUP(B28,'Season 4 Stats'!$A$2:$C$500,3,FALSE),VLOOKUP(B28,'Season 5 Stats'!$A$2:$C$500,3,FALSE),VLOOKUP(B28,'Season 6 Stats'!$A$2:$C$505,3,FALSE),VLOOKUP(B28,'Season 7 Stats'!$A$2:$C$508,3,FALSE))</f>
        <v>23</v>
      </c>
      <c r="E28" s="79">
        <f t="shared" si="0"/>
        <v>0.51063829787234039</v>
      </c>
    </row>
    <row r="29" spans="1:5">
      <c r="A29" s="78">
        <f>RANK(Table18[[#This Row],[Win Percentage]],E:E)</f>
        <v>28</v>
      </c>
      <c r="B29" t="s">
        <v>24</v>
      </c>
      <c r="C29">
        <f>SUM(VLOOKUP(B29,'Season 1 Stats'!$A$2:$C$500,2,FALSE),VLOOKUP(B29,'Season 2 Stats'!$A$2:$C$500,2,FALSE),VLOOKUP(B29,'Season 3 Stats'!$A$2:$C$500,2,FALSE),VLOOKUP(B29,'Season 4 Stats'!$A$2:$C$500,2,FALSE),VLOOKUP(B29,'Season 5 Stats'!$A$2:$C$500,2,FALSE),VLOOKUP(B29,'Season 6 Stats'!$A$2:$C$505,2,FALSE),VLOOKUP(B29,'Season 7 Stats'!$A$2:$C$508,2,FALSE))</f>
        <v>107</v>
      </c>
      <c r="D29">
        <f>SUM(VLOOKUP(B29,'Season 1 Stats'!$A$2:$C$500,3,FALSE),VLOOKUP(B29,'Season 2 Stats'!$A$2:$C$500,3,FALSE),VLOOKUP(B29,'Season 3 Stats'!$A$2:$C$500,3,FALSE),VLOOKUP(B29,'Season 4 Stats'!$A$2:$C$500,3,FALSE),VLOOKUP(B29,'Season 5 Stats'!$A$2:$C$500,3,FALSE),VLOOKUP(B29,'Season 6 Stats'!$A$2:$C$505,3,FALSE),VLOOKUP(B29,'Season 7 Stats'!$A$2:$C$508,3,FALSE))</f>
        <v>103</v>
      </c>
      <c r="E29" s="79">
        <f t="shared" si="0"/>
        <v>0.50952380952380949</v>
      </c>
    </row>
    <row r="30" spans="1:5">
      <c r="A30" s="78">
        <f>RANK(Table18[[#This Row],[Win Percentage]],E:E)</f>
        <v>29</v>
      </c>
      <c r="B30" t="s">
        <v>721</v>
      </c>
      <c r="C30">
        <f>SUM(VLOOKUP(B30,'Season 1 Stats'!$A$2:$C$500,2,FALSE),VLOOKUP(B30,'Season 2 Stats'!$A$2:$C$500,2,FALSE),VLOOKUP(B30,'Season 3 Stats'!$A$2:$C$500,2,FALSE),VLOOKUP(B30,'Season 4 Stats'!$A$2:$C$500,2,FALSE),VLOOKUP(B30,'Season 5 Stats'!$A$2:$C$500,2,FALSE),VLOOKUP(B30,'Season 6 Stats'!$A$2:$C$505,2,FALSE),VLOOKUP(B30,'Season 7 Stats'!$A$2:$C$508,2,FALSE))</f>
        <v>10</v>
      </c>
      <c r="D30">
        <f>SUM(VLOOKUP(B30,'Season 1 Stats'!$A$2:$C$500,3,FALSE),VLOOKUP(B30,'Season 2 Stats'!$A$2:$C$500,3,FALSE),VLOOKUP(B30,'Season 3 Stats'!$A$2:$C$500,3,FALSE),VLOOKUP(B30,'Season 4 Stats'!$A$2:$C$500,3,FALSE),VLOOKUP(B30,'Season 5 Stats'!$A$2:$C$500,3,FALSE),VLOOKUP(B30,'Season 6 Stats'!$A$2:$C$505,3,FALSE),VLOOKUP(B30,'Season 7 Stats'!$A$2:$C$508,3,FALSE))</f>
        <v>10</v>
      </c>
      <c r="E30" s="79">
        <f t="shared" si="0"/>
        <v>0.5</v>
      </c>
    </row>
    <row r="31" spans="1:5">
      <c r="A31" s="78">
        <f>RANK(Table18[[#This Row],[Win Percentage]],E:E)</f>
        <v>30</v>
      </c>
      <c r="B31" t="s">
        <v>52</v>
      </c>
      <c r="C31">
        <f>SUM(VLOOKUP(B31,'Season 1 Stats'!$A$2:$C$500,2,FALSE),VLOOKUP(B31,'Season 2 Stats'!$A$2:$C$500,2,FALSE),VLOOKUP(B31,'Season 3 Stats'!$A$2:$C$500,2,FALSE),VLOOKUP(B31,'Season 4 Stats'!$A$2:$C$500,2,FALSE),VLOOKUP(B31,'Season 5 Stats'!$A$2:$C$500,2,FALSE),VLOOKUP(B31,'Season 6 Stats'!$A$2:$C$505,2,FALSE),VLOOKUP(B31,'Season 7 Stats'!$A$2:$C$508,2,FALSE))</f>
        <v>86</v>
      </c>
      <c r="D31">
        <f>SUM(VLOOKUP(B31,'Season 1 Stats'!$A$2:$C$500,3,FALSE),VLOOKUP(B31,'Season 2 Stats'!$A$2:$C$500,3,FALSE),VLOOKUP(B31,'Season 3 Stats'!$A$2:$C$500,3,FALSE),VLOOKUP(B31,'Season 4 Stats'!$A$2:$C$500,3,FALSE),VLOOKUP(B31,'Season 5 Stats'!$A$2:$C$500,3,FALSE),VLOOKUP(B31,'Season 6 Stats'!$A$2:$C$505,3,FALSE),VLOOKUP(B31,'Season 7 Stats'!$A$2:$C$508,3,FALSE))</f>
        <v>89</v>
      </c>
      <c r="E31" s="79">
        <f t="shared" si="0"/>
        <v>0.49142857142857144</v>
      </c>
    </row>
    <row r="32" spans="1:5">
      <c r="A32" s="78">
        <f>RANK(Table18[[#This Row],[Win Percentage]],E:E)</f>
        <v>31</v>
      </c>
      <c r="B32" t="s">
        <v>77</v>
      </c>
      <c r="C32">
        <f>SUM(VLOOKUP(B32,'Season 1 Stats'!$A$2:$C$500,2,FALSE),VLOOKUP(B32,'Season 2 Stats'!$A$2:$C$500,2,FALSE),VLOOKUP(B32,'Season 3 Stats'!$A$2:$C$500,2,FALSE),VLOOKUP(B32,'Season 4 Stats'!$A$2:$C$500,2,FALSE),VLOOKUP(B32,'Season 5 Stats'!$A$2:$C$500,2,FALSE),VLOOKUP(B32,'Season 6 Stats'!$A$2:$C$505,2,FALSE),VLOOKUP(B32,'Season 7 Stats'!$A$2:$C$508,2,FALSE))</f>
        <v>22</v>
      </c>
      <c r="D32">
        <f>SUM(VLOOKUP(B32,'Season 1 Stats'!$A$2:$C$500,3,FALSE),VLOOKUP(B32,'Season 2 Stats'!$A$2:$C$500,3,FALSE),VLOOKUP(B32,'Season 3 Stats'!$A$2:$C$500,3,FALSE),VLOOKUP(B32,'Season 4 Stats'!$A$2:$C$500,3,FALSE),VLOOKUP(B32,'Season 5 Stats'!$A$2:$C$500,3,FALSE),VLOOKUP(B32,'Season 6 Stats'!$A$2:$C$505,3,FALSE),VLOOKUP(B32,'Season 7 Stats'!$A$2:$C$508,3,FALSE))</f>
        <v>23</v>
      </c>
      <c r="E32" s="79">
        <f t="shared" si="0"/>
        <v>0.48888888888888887</v>
      </c>
    </row>
    <row r="33" spans="1:5">
      <c r="A33" s="78">
        <f>RANK(Table18[[#This Row],[Win Percentage]],E:E)</f>
        <v>32</v>
      </c>
      <c r="B33" t="s">
        <v>12</v>
      </c>
      <c r="C33">
        <f>SUM(VLOOKUP(B33,'Season 1 Stats'!$A$2:$C$500,2,FALSE),VLOOKUP(B33,'Season 2 Stats'!$A$2:$C$500,2,FALSE),VLOOKUP(B33,'Season 3 Stats'!$A$2:$C$500,2,FALSE),VLOOKUP(B33,'Season 4 Stats'!$A$2:$C$500,2,FALSE),VLOOKUP(B33,'Season 5 Stats'!$A$2:$C$500,2,FALSE),VLOOKUP(B33,'Season 6 Stats'!$A$2:$C$505,2,FALSE),VLOOKUP(B33,'Season 7 Stats'!$A$2:$C$508,2,FALSE))</f>
        <v>21</v>
      </c>
      <c r="D33">
        <f>SUM(VLOOKUP(B33,'Season 1 Stats'!$A$2:$C$500,3,FALSE),VLOOKUP(B33,'Season 2 Stats'!$A$2:$C$500,3,FALSE),VLOOKUP(B33,'Season 3 Stats'!$A$2:$C$500,3,FALSE),VLOOKUP(B33,'Season 4 Stats'!$A$2:$C$500,3,FALSE),VLOOKUP(B33,'Season 5 Stats'!$A$2:$C$500,3,FALSE),VLOOKUP(B33,'Season 6 Stats'!$A$2:$C$505,3,FALSE),VLOOKUP(B33,'Season 7 Stats'!$A$2:$C$508,3,FALSE))</f>
        <v>22</v>
      </c>
      <c r="E33" s="79">
        <f t="shared" si="0"/>
        <v>0.48837209302325579</v>
      </c>
    </row>
    <row r="34" spans="1:5">
      <c r="A34" s="78">
        <f>RANK(Table18[[#This Row],[Win Percentage]],E:E)</f>
        <v>33</v>
      </c>
      <c r="B34" t="s">
        <v>5</v>
      </c>
      <c r="C34">
        <f>SUM(VLOOKUP(B34,'Season 1 Stats'!$A$2:$C$500,2,FALSE),VLOOKUP(B34,'Season 2 Stats'!$A$2:$C$500,2,FALSE),VLOOKUP(B34,'Season 3 Stats'!$A$2:$C$500,2,FALSE),VLOOKUP(B34,'Season 4 Stats'!$A$2:$C$500,2,FALSE),VLOOKUP(B34,'Season 5 Stats'!$A$2:$C$500,2,FALSE),VLOOKUP(B34,'Season 6 Stats'!$A$2:$C$505,2,FALSE),VLOOKUP(B34,'Season 7 Stats'!$A$2:$C$508,2,FALSE))</f>
        <v>20</v>
      </c>
      <c r="D34">
        <f>SUM(VLOOKUP(B34,'Season 1 Stats'!$A$2:$C$500,3,FALSE),VLOOKUP(B34,'Season 2 Stats'!$A$2:$C$500,3,FALSE),VLOOKUP(B34,'Season 3 Stats'!$A$2:$C$500,3,FALSE),VLOOKUP(B34,'Season 4 Stats'!$A$2:$C$500,3,FALSE),VLOOKUP(B34,'Season 5 Stats'!$A$2:$C$500,3,FALSE),VLOOKUP(B34,'Season 6 Stats'!$A$2:$C$505,3,FALSE),VLOOKUP(B34,'Season 7 Stats'!$A$2:$C$508,3,FALSE))</f>
        <v>22</v>
      </c>
      <c r="E34" s="79">
        <f t="shared" ref="E34:E65" si="1">IF(ISERROR(C34/(C34+D34)),0%,C34/(C34+D34))</f>
        <v>0.47619047619047616</v>
      </c>
    </row>
    <row r="35" spans="1:5">
      <c r="A35" s="78">
        <f>RANK(Table18[[#This Row],[Win Percentage]],E:E)</f>
        <v>34</v>
      </c>
      <c r="B35" t="s">
        <v>54</v>
      </c>
      <c r="C35">
        <f>SUM(VLOOKUP(B35,'Season 1 Stats'!$A$2:$C$500,2,FALSE),VLOOKUP(B35,'Season 2 Stats'!$A$2:$C$500,2,FALSE),VLOOKUP(B35,'Season 3 Stats'!$A$2:$C$500,2,FALSE),VLOOKUP(B35,'Season 4 Stats'!$A$2:$C$500,2,FALSE),VLOOKUP(B35,'Season 5 Stats'!$A$2:$C$500,2,FALSE),VLOOKUP(B35,'Season 6 Stats'!$A$2:$C$505,2,FALSE),VLOOKUP(B35,'Season 7 Stats'!$A$2:$C$508,2,FALSE))</f>
        <v>97</v>
      </c>
      <c r="D35">
        <f>SUM(VLOOKUP(B35,'Season 1 Stats'!$A$2:$C$500,3,FALSE),VLOOKUP(B35,'Season 2 Stats'!$A$2:$C$500,3,FALSE),VLOOKUP(B35,'Season 3 Stats'!$A$2:$C$500,3,FALSE),VLOOKUP(B35,'Season 4 Stats'!$A$2:$C$500,3,FALSE),VLOOKUP(B35,'Season 5 Stats'!$A$2:$C$500,3,FALSE),VLOOKUP(B35,'Season 6 Stats'!$A$2:$C$505,3,FALSE),VLOOKUP(B35,'Season 7 Stats'!$A$2:$C$508,3,FALSE))</f>
        <v>107</v>
      </c>
      <c r="E35" s="79">
        <f t="shared" si="1"/>
        <v>0.47549019607843135</v>
      </c>
    </row>
    <row r="36" spans="1:5">
      <c r="A36" s="78">
        <f>RANK(Table18[[#This Row],[Win Percentage]],E:E)</f>
        <v>35</v>
      </c>
      <c r="B36" t="s">
        <v>13</v>
      </c>
      <c r="C36">
        <f>SUM(VLOOKUP(B36,'Season 1 Stats'!$A$2:$C$500,2,FALSE),VLOOKUP(B36,'Season 2 Stats'!$A$2:$C$500,2,FALSE),VLOOKUP(B36,'Season 3 Stats'!$A$2:$C$500,2,FALSE),VLOOKUP(B36,'Season 4 Stats'!$A$2:$C$500,2,FALSE),VLOOKUP(B36,'Season 5 Stats'!$A$2:$C$500,2,FALSE),VLOOKUP(B36,'Season 6 Stats'!$A$2:$C$505,2,FALSE),VLOOKUP(B36,'Season 7 Stats'!$A$2:$C$508,2,FALSE))</f>
        <v>19</v>
      </c>
      <c r="D36">
        <f>SUM(VLOOKUP(B36,'Season 1 Stats'!$A$2:$C$500,3,FALSE),VLOOKUP(B36,'Season 2 Stats'!$A$2:$C$500,3,FALSE),VLOOKUP(B36,'Season 3 Stats'!$A$2:$C$500,3,FALSE),VLOOKUP(B36,'Season 4 Stats'!$A$2:$C$500,3,FALSE),VLOOKUP(B36,'Season 5 Stats'!$A$2:$C$500,3,FALSE),VLOOKUP(B36,'Season 6 Stats'!$A$2:$C$505,3,FALSE),VLOOKUP(B36,'Season 7 Stats'!$A$2:$C$508,3,FALSE))</f>
        <v>21</v>
      </c>
      <c r="E36" s="79">
        <f t="shared" si="1"/>
        <v>0.47499999999999998</v>
      </c>
    </row>
    <row r="37" spans="1:5">
      <c r="A37" s="78">
        <f>RANK(Table18[[#This Row],[Win Percentage]],E:E)</f>
        <v>36</v>
      </c>
      <c r="B37" t="s">
        <v>65</v>
      </c>
      <c r="C37">
        <f>SUM(VLOOKUP(B37,'Season 1 Stats'!$A$2:$C$500,2,FALSE),VLOOKUP(B37,'Season 2 Stats'!$A$2:$C$500,2,FALSE),VLOOKUP(B37,'Season 3 Stats'!$A$2:$C$500,2,FALSE),VLOOKUP(B37,'Season 4 Stats'!$A$2:$C$500,2,FALSE),VLOOKUP(B37,'Season 5 Stats'!$A$2:$C$500,2,FALSE),VLOOKUP(B37,'Season 6 Stats'!$A$2:$C$505,2,FALSE),VLOOKUP(B37,'Season 7 Stats'!$A$2:$C$508,2,FALSE))</f>
        <v>89</v>
      </c>
      <c r="D37">
        <f>SUM(VLOOKUP(B37,'Season 1 Stats'!$A$2:$C$500,3,FALSE),VLOOKUP(B37,'Season 2 Stats'!$A$2:$C$500,3,FALSE),VLOOKUP(B37,'Season 3 Stats'!$A$2:$C$500,3,FALSE),VLOOKUP(B37,'Season 4 Stats'!$A$2:$C$500,3,FALSE),VLOOKUP(B37,'Season 5 Stats'!$A$2:$C$500,3,FALSE),VLOOKUP(B37,'Season 6 Stats'!$A$2:$C$505,3,FALSE),VLOOKUP(B37,'Season 7 Stats'!$A$2:$C$508,3,FALSE))</f>
        <v>103</v>
      </c>
      <c r="E37" s="79">
        <f t="shared" si="1"/>
        <v>0.46354166666666669</v>
      </c>
    </row>
    <row r="38" spans="1:5">
      <c r="A38" s="78">
        <f>RANK(Table18[[#This Row],[Win Percentage]],E:E)</f>
        <v>37</v>
      </c>
      <c r="B38" t="s">
        <v>60</v>
      </c>
      <c r="C38">
        <f>SUM(VLOOKUP(B38,'Season 1 Stats'!$A$2:$C$500,2,FALSE),VLOOKUP(B38,'Season 2 Stats'!$A$2:$C$500,2,FALSE),VLOOKUP(B38,'Season 3 Stats'!$A$2:$C$500,2,FALSE),VLOOKUP(B38,'Season 4 Stats'!$A$2:$C$500,2,FALSE),VLOOKUP(B38,'Season 5 Stats'!$A$2:$C$500,2,FALSE),VLOOKUP(B38,'Season 6 Stats'!$A$2:$C$505,2,FALSE),VLOOKUP(B38,'Season 7 Stats'!$A$2:$C$508,2,FALSE))</f>
        <v>92</v>
      </c>
      <c r="D38">
        <f>SUM(VLOOKUP(B38,'Season 1 Stats'!$A$2:$C$500,3,FALSE),VLOOKUP(B38,'Season 2 Stats'!$A$2:$C$500,3,FALSE),VLOOKUP(B38,'Season 3 Stats'!$A$2:$C$500,3,FALSE),VLOOKUP(B38,'Season 4 Stats'!$A$2:$C$500,3,FALSE),VLOOKUP(B38,'Season 5 Stats'!$A$2:$C$500,3,FALSE),VLOOKUP(B38,'Season 6 Stats'!$A$2:$C$505,3,FALSE),VLOOKUP(B38,'Season 7 Stats'!$A$2:$C$508,3,FALSE))</f>
        <v>110</v>
      </c>
      <c r="E38" s="79">
        <f t="shared" si="1"/>
        <v>0.45544554455445546</v>
      </c>
    </row>
    <row r="39" spans="1:5">
      <c r="A39" s="78">
        <f>RANK(Table18[[#This Row],[Win Percentage]],E:E)</f>
        <v>38</v>
      </c>
      <c r="B39" t="s">
        <v>82</v>
      </c>
      <c r="C39">
        <f>SUM(VLOOKUP(B39,'Season 1 Stats'!$A$2:$C$500,2,FALSE),VLOOKUP(B39,'Season 2 Stats'!$A$2:$C$500,2,FALSE),VLOOKUP(B39,'Season 3 Stats'!$A$2:$C$500,2,FALSE),VLOOKUP(B39,'Season 4 Stats'!$A$2:$C$500,2,FALSE),VLOOKUP(B39,'Season 5 Stats'!$A$2:$C$500,2,FALSE),VLOOKUP(B39,'Season 6 Stats'!$A$2:$C$505,2,FALSE),VLOOKUP(B39,'Season 7 Stats'!$A$2:$C$508,2,FALSE))</f>
        <v>90</v>
      </c>
      <c r="D39">
        <f>SUM(VLOOKUP(B39,'Season 1 Stats'!$A$2:$C$500,3,FALSE),VLOOKUP(B39,'Season 2 Stats'!$A$2:$C$500,3,FALSE),VLOOKUP(B39,'Season 3 Stats'!$A$2:$C$500,3,FALSE),VLOOKUP(B39,'Season 4 Stats'!$A$2:$C$500,3,FALSE),VLOOKUP(B39,'Season 5 Stats'!$A$2:$C$500,3,FALSE),VLOOKUP(B39,'Season 6 Stats'!$A$2:$C$505,3,FALSE),VLOOKUP(B39,'Season 7 Stats'!$A$2:$C$508,3,FALSE))</f>
        <v>108</v>
      </c>
      <c r="E39" s="79">
        <f t="shared" si="1"/>
        <v>0.45454545454545453</v>
      </c>
    </row>
    <row r="40" spans="1:5">
      <c r="A40" s="78">
        <f>RANK(Table18[[#This Row],[Win Percentage]],E:E)</f>
        <v>39</v>
      </c>
      <c r="B40" t="s">
        <v>17</v>
      </c>
      <c r="C40">
        <f>SUM(VLOOKUP(B40,'Season 1 Stats'!$A$2:$C$500,2,FALSE),VLOOKUP(B40,'Season 2 Stats'!$A$2:$C$500,2,FALSE),VLOOKUP(B40,'Season 3 Stats'!$A$2:$C$500,2,FALSE),VLOOKUP(B40,'Season 4 Stats'!$A$2:$C$500,2,FALSE),VLOOKUP(B40,'Season 5 Stats'!$A$2:$C$500,2,FALSE),VLOOKUP(B40,'Season 6 Stats'!$A$2:$C$505,2,FALSE),VLOOKUP(B40,'Season 7 Stats'!$A$2:$C$508,2,FALSE))</f>
        <v>24</v>
      </c>
      <c r="D40">
        <f>SUM(VLOOKUP(B40,'Season 1 Stats'!$A$2:$C$500,3,FALSE),VLOOKUP(B40,'Season 2 Stats'!$A$2:$C$500,3,FALSE),VLOOKUP(B40,'Season 3 Stats'!$A$2:$C$500,3,FALSE),VLOOKUP(B40,'Season 4 Stats'!$A$2:$C$500,3,FALSE),VLOOKUP(B40,'Season 5 Stats'!$A$2:$C$500,3,FALSE),VLOOKUP(B40,'Season 6 Stats'!$A$2:$C$505,3,FALSE),VLOOKUP(B40,'Season 7 Stats'!$A$2:$C$508,3,FALSE))</f>
        <v>29</v>
      </c>
      <c r="E40" s="79">
        <f t="shared" si="1"/>
        <v>0.45283018867924529</v>
      </c>
    </row>
    <row r="41" spans="1:5">
      <c r="A41" s="78">
        <f>RANK(Table18[[#This Row],[Win Percentage]],E:E)</f>
        <v>41</v>
      </c>
      <c r="B41" t="s">
        <v>39</v>
      </c>
      <c r="C41">
        <f>SUM(VLOOKUP(B41,'Season 1 Stats'!$A$2:$C$500,2,FALSE),VLOOKUP(B41,'Season 2 Stats'!$A$2:$C$500,2,FALSE),VLOOKUP(B41,'Season 3 Stats'!$A$2:$C$500,2,FALSE),VLOOKUP(B41,'Season 4 Stats'!$A$2:$C$500,2,FALSE),VLOOKUP(B41,'Season 5 Stats'!$A$2:$C$500,2,FALSE),VLOOKUP(B41,'Season 6 Stats'!$A$2:$C$505,2,FALSE),VLOOKUP(B41,'Season 7 Stats'!$A$2:$C$508,2,FALSE))</f>
        <v>90</v>
      </c>
      <c r="D41">
        <f>SUM(VLOOKUP(B41,'Season 1 Stats'!$A$2:$C$500,3,FALSE),VLOOKUP(B41,'Season 2 Stats'!$A$2:$C$500,3,FALSE),VLOOKUP(B41,'Season 3 Stats'!$A$2:$C$500,3,FALSE),VLOOKUP(B41,'Season 4 Stats'!$A$2:$C$500,3,FALSE),VLOOKUP(B41,'Season 5 Stats'!$A$2:$C$500,3,FALSE),VLOOKUP(B41,'Season 6 Stats'!$A$2:$C$505,3,FALSE),VLOOKUP(B41,'Season 7 Stats'!$A$2:$C$508,3,FALSE))</f>
        <v>110</v>
      </c>
      <c r="E41" s="79">
        <f t="shared" si="1"/>
        <v>0.45</v>
      </c>
    </row>
    <row r="42" spans="1:5">
      <c r="A42" s="78">
        <f>RANK(Table18[[#This Row],[Win Percentage]],E:E)</f>
        <v>40</v>
      </c>
      <c r="B42" t="s">
        <v>50</v>
      </c>
      <c r="C42">
        <f>SUM(VLOOKUP(B42,'Season 1 Stats'!$A$2:$C$500,2,FALSE),VLOOKUP(B42,'Season 2 Stats'!$A$2:$C$500,2,FALSE),VLOOKUP(B42,'Season 3 Stats'!$A$2:$C$500,2,FALSE),VLOOKUP(B42,'Season 4 Stats'!$A$2:$C$500,2,FALSE),VLOOKUP(B42,'Season 5 Stats'!$A$2:$C$500,2,FALSE),VLOOKUP(B42,'Season 6 Stats'!$A$2:$C$505,2,FALSE),VLOOKUP(B42,'Season 7 Stats'!$A$2:$C$508,2,FALSE))</f>
        <v>85</v>
      </c>
      <c r="D42">
        <f>SUM(VLOOKUP(B42,'Season 1 Stats'!$A$2:$C$500,3,FALSE),VLOOKUP(B42,'Season 2 Stats'!$A$2:$C$500,3,FALSE),VLOOKUP(B42,'Season 3 Stats'!$A$2:$C$500,3,FALSE),VLOOKUP(B42,'Season 4 Stats'!$A$2:$C$500,3,FALSE),VLOOKUP(B42,'Season 5 Stats'!$A$2:$C$500,3,FALSE),VLOOKUP(B42,'Season 6 Stats'!$A$2:$C$505,3,FALSE),VLOOKUP(B42,'Season 7 Stats'!$A$2:$C$508,3,FALSE))</f>
        <v>103</v>
      </c>
      <c r="E42" s="79">
        <f t="shared" si="1"/>
        <v>0.4521276595744681</v>
      </c>
    </row>
    <row r="43" spans="1:5">
      <c r="A43" s="78">
        <f>RANK(Table18[[#This Row],[Win Percentage]],E:E)</f>
        <v>42</v>
      </c>
      <c r="B43" t="s">
        <v>36</v>
      </c>
      <c r="C43">
        <f>SUM(VLOOKUP(B43,'Season 1 Stats'!$A$2:$C$500,2,FALSE),VLOOKUP(B43,'Season 2 Stats'!$A$2:$C$500,2,FALSE),VLOOKUP(B43,'Season 3 Stats'!$A$2:$C$500,2,FALSE),VLOOKUP(B43,'Season 4 Stats'!$A$2:$C$500,2,FALSE),VLOOKUP(B43,'Season 5 Stats'!$A$2:$C$500,2,FALSE),VLOOKUP(B43,'Season 6 Stats'!$A$2:$C$505,2,FALSE),VLOOKUP(B43,'Season 7 Stats'!$A$2:$C$508,2,FALSE))</f>
        <v>94</v>
      </c>
      <c r="D43">
        <f>SUM(VLOOKUP(B43,'Season 1 Stats'!$A$2:$C$500,3,FALSE),VLOOKUP(B43,'Season 2 Stats'!$A$2:$C$500,3,FALSE),VLOOKUP(B43,'Season 3 Stats'!$A$2:$C$500,3,FALSE),VLOOKUP(B43,'Season 4 Stats'!$A$2:$C$500,3,FALSE),VLOOKUP(B43,'Season 5 Stats'!$A$2:$C$500,3,FALSE),VLOOKUP(B43,'Season 6 Stats'!$A$2:$C$505,3,FALSE),VLOOKUP(B43,'Season 7 Stats'!$A$2:$C$508,3,FALSE))</f>
        <v>120</v>
      </c>
      <c r="E43" s="79">
        <f t="shared" si="1"/>
        <v>0.43925233644859812</v>
      </c>
    </row>
    <row r="44" spans="1:5">
      <c r="A44" s="78">
        <f>RANK(Table18[[#This Row],[Win Percentage]],E:E)</f>
        <v>43</v>
      </c>
      <c r="B44" t="s">
        <v>542</v>
      </c>
      <c r="C44">
        <f>SUM(VLOOKUP(B44,'Season 1 Stats'!$A$2:$C$500,2,FALSE),VLOOKUP(B44,'Season 2 Stats'!$A$2:$C$500,2,FALSE),VLOOKUP(B44,'Season 3 Stats'!$A$2:$C$500,2,FALSE),VLOOKUP(B44,'Season 4 Stats'!$A$2:$C$500,2,FALSE),VLOOKUP(B44,'Season 5 Stats'!$A$2:$C$500,2,FALSE),VLOOKUP(B44,'Season 6 Stats'!$A$2:$C$505,2,FALSE),VLOOKUP(B44,'Season 7 Stats'!$A$2:$C$508,2,FALSE))</f>
        <v>18</v>
      </c>
      <c r="D44">
        <f>SUM(VLOOKUP(B44,'Season 1 Stats'!$A$2:$C$500,3,FALSE),VLOOKUP(B44,'Season 2 Stats'!$A$2:$C$500,3,FALSE),VLOOKUP(B44,'Season 3 Stats'!$A$2:$C$500,3,FALSE),VLOOKUP(B44,'Season 4 Stats'!$A$2:$C$500,3,FALSE),VLOOKUP(B44,'Season 5 Stats'!$A$2:$C$500,3,FALSE),VLOOKUP(B44,'Season 6 Stats'!$A$2:$C$505,3,FALSE),VLOOKUP(B44,'Season 7 Stats'!$A$2:$C$508,3,FALSE))</f>
        <v>23</v>
      </c>
      <c r="E44" s="79">
        <f t="shared" si="1"/>
        <v>0.43902439024390244</v>
      </c>
    </row>
    <row r="45" spans="1:5">
      <c r="A45" s="78">
        <f>RANK(Table18[[#This Row],[Win Percentage]],E:E)</f>
        <v>44</v>
      </c>
      <c r="B45" t="s">
        <v>59</v>
      </c>
      <c r="C45">
        <f>SUM(VLOOKUP(B45,'Season 1 Stats'!$A$2:$C$500,2,FALSE),VLOOKUP(B45,'Season 2 Stats'!$A$2:$C$500,2,FALSE),VLOOKUP(B45,'Season 3 Stats'!$A$2:$C$500,2,FALSE),VLOOKUP(B45,'Season 4 Stats'!$A$2:$C$500,2,FALSE),VLOOKUP(B45,'Season 5 Stats'!$A$2:$C$500,2,FALSE),VLOOKUP(B45,'Season 6 Stats'!$A$2:$C$505,2,FALSE),VLOOKUP(B45,'Season 7 Stats'!$A$2:$C$508,2,FALSE))</f>
        <v>87</v>
      </c>
      <c r="D45">
        <f>SUM(VLOOKUP(B45,'Season 1 Stats'!$A$2:$C$500,3,FALSE),VLOOKUP(B45,'Season 2 Stats'!$A$2:$C$500,3,FALSE),VLOOKUP(B45,'Season 3 Stats'!$A$2:$C$500,3,FALSE),VLOOKUP(B45,'Season 4 Stats'!$A$2:$C$500,3,FALSE),VLOOKUP(B45,'Season 5 Stats'!$A$2:$C$500,3,FALSE),VLOOKUP(B45,'Season 6 Stats'!$A$2:$C$505,3,FALSE),VLOOKUP(B45,'Season 7 Stats'!$A$2:$C$508,3,FALSE))</f>
        <v>118</v>
      </c>
      <c r="E45" s="79">
        <f t="shared" si="1"/>
        <v>0.42439024390243901</v>
      </c>
    </row>
    <row r="46" spans="1:5">
      <c r="A46" s="78">
        <f>RANK(Table18[[#This Row],[Win Percentage]],E:E)</f>
        <v>45</v>
      </c>
      <c r="B46" t="s">
        <v>8</v>
      </c>
      <c r="C46">
        <f>SUM(VLOOKUP(B46,'Season 1 Stats'!$A$2:$C$500,2,FALSE),VLOOKUP(B46,'Season 2 Stats'!$A$2:$C$500,2,FALSE),VLOOKUP(B46,'Season 3 Stats'!$A$2:$C$500,2,FALSE),VLOOKUP(B46,'Season 4 Stats'!$A$2:$C$500,2,FALSE),VLOOKUP(B46,'Season 5 Stats'!$A$2:$C$500,2,FALSE),VLOOKUP(B46,'Season 6 Stats'!$A$2:$C$505,2,FALSE),VLOOKUP(B46,'Season 7 Stats'!$A$2:$C$508,2,FALSE))</f>
        <v>18</v>
      </c>
      <c r="D46">
        <f>SUM(VLOOKUP(B46,'Season 1 Stats'!$A$2:$C$500,3,FALSE),VLOOKUP(B46,'Season 2 Stats'!$A$2:$C$500,3,FALSE),VLOOKUP(B46,'Season 3 Stats'!$A$2:$C$500,3,FALSE),VLOOKUP(B46,'Season 4 Stats'!$A$2:$C$500,3,FALSE),VLOOKUP(B46,'Season 5 Stats'!$A$2:$C$500,3,FALSE),VLOOKUP(B46,'Season 6 Stats'!$A$2:$C$505,3,FALSE),VLOOKUP(B46,'Season 7 Stats'!$A$2:$C$508,3,FALSE))</f>
        <v>26</v>
      </c>
      <c r="E46" s="79">
        <f t="shared" si="1"/>
        <v>0.40909090909090912</v>
      </c>
    </row>
    <row r="47" spans="1:5">
      <c r="A47" s="78">
        <f>RANK(Table18[[#This Row],[Win Percentage]],E:E)</f>
        <v>46</v>
      </c>
      <c r="B47" t="s">
        <v>41</v>
      </c>
      <c r="C47">
        <f>SUM(VLOOKUP(B47,'Season 1 Stats'!$A$2:$C$500,2,FALSE),VLOOKUP(B47,'Season 2 Stats'!$A$2:$C$500,2,FALSE),VLOOKUP(B47,'Season 3 Stats'!$A$2:$C$500,2,FALSE),VLOOKUP(B47,'Season 4 Stats'!$A$2:$C$500,2,FALSE),VLOOKUP(B47,'Season 5 Stats'!$A$2:$C$500,2,FALSE),VLOOKUP(B47,'Season 6 Stats'!$A$2:$C$505,2,FALSE),VLOOKUP(B47,'Season 7 Stats'!$A$2:$C$508,2,FALSE))</f>
        <v>73</v>
      </c>
      <c r="D47">
        <f>SUM(VLOOKUP(B47,'Season 1 Stats'!$A$2:$C$500,3,FALSE),VLOOKUP(B47,'Season 2 Stats'!$A$2:$C$500,3,FALSE),VLOOKUP(B47,'Season 3 Stats'!$A$2:$C$500,3,FALSE),VLOOKUP(B47,'Season 4 Stats'!$A$2:$C$500,3,FALSE),VLOOKUP(B47,'Season 5 Stats'!$A$2:$C$500,3,FALSE),VLOOKUP(B47,'Season 6 Stats'!$A$2:$C$505,3,FALSE),VLOOKUP(B47,'Season 7 Stats'!$A$2:$C$508,3,FALSE))</f>
        <v>107</v>
      </c>
      <c r="E47" s="79">
        <f t="shared" si="1"/>
        <v>0.40555555555555556</v>
      </c>
    </row>
    <row r="48" spans="1:5">
      <c r="A48" s="78">
        <f>RANK(Table18[[#This Row],[Win Percentage]],E:E)</f>
        <v>47</v>
      </c>
      <c r="B48" t="s">
        <v>326</v>
      </c>
      <c r="C48">
        <f>SUM(VLOOKUP(B48,'Season 1 Stats'!$A$2:$C$500,2,FALSE),VLOOKUP(B48,'Season 2 Stats'!$A$2:$C$500,2,FALSE),VLOOKUP(B48,'Season 3 Stats'!$A$2:$C$500,2,FALSE),VLOOKUP(B48,'Season 4 Stats'!$A$2:$C$500,2,FALSE),VLOOKUP(B48,'Season 5 Stats'!$A$2:$C$500,2,FALSE),VLOOKUP(B48,'Season 6 Stats'!$A$2:$C$505,2,FALSE),VLOOKUP(B48,'Season 7 Stats'!$A$2:$C$508,2,FALSE))</f>
        <v>10</v>
      </c>
      <c r="D48">
        <f>SUM(VLOOKUP(B48,'Season 1 Stats'!$A$2:$C$500,3,FALSE),VLOOKUP(B48,'Season 2 Stats'!$A$2:$C$500,3,FALSE),VLOOKUP(B48,'Season 3 Stats'!$A$2:$C$500,3,FALSE),VLOOKUP(B48,'Season 4 Stats'!$A$2:$C$500,3,FALSE),VLOOKUP(B48,'Season 5 Stats'!$A$2:$C$500,3,FALSE),VLOOKUP(B48,'Season 6 Stats'!$A$2:$C$505,3,FALSE),VLOOKUP(B48,'Season 7 Stats'!$A$2:$C$508,3,FALSE))</f>
        <v>15</v>
      </c>
      <c r="E48" s="79">
        <f t="shared" si="1"/>
        <v>0.4</v>
      </c>
    </row>
    <row r="49" spans="1:5">
      <c r="A49" s="78">
        <f>RANK(Table18[[#This Row],[Win Percentage]],E:E)</f>
        <v>47</v>
      </c>
      <c r="B49" t="s">
        <v>1</v>
      </c>
      <c r="C49">
        <f>SUM(VLOOKUP(B49,'Season 1 Stats'!$A$2:$C$500,2,FALSE),VLOOKUP(B49,'Season 2 Stats'!$A$2:$C$500,2,FALSE),VLOOKUP(B49,'Season 3 Stats'!$A$2:$C$500,2,FALSE),VLOOKUP(B49,'Season 4 Stats'!$A$2:$C$500,2,FALSE),VLOOKUP(B49,'Season 5 Stats'!$A$2:$C$500,2,FALSE),VLOOKUP(B49,'Season 6 Stats'!$A$2:$C$505,2,FALSE),VLOOKUP(B49,'Season 7 Stats'!$A$2:$C$508,2,FALSE))</f>
        <v>16</v>
      </c>
      <c r="D49">
        <f>SUM(VLOOKUP(B49,'Season 1 Stats'!$A$2:$C$500,3,FALSE),VLOOKUP(B49,'Season 2 Stats'!$A$2:$C$500,3,FALSE),VLOOKUP(B49,'Season 3 Stats'!$A$2:$C$500,3,FALSE),VLOOKUP(B49,'Season 4 Stats'!$A$2:$C$500,3,FALSE),VLOOKUP(B49,'Season 5 Stats'!$A$2:$C$500,3,FALSE),VLOOKUP(B49,'Season 6 Stats'!$A$2:$C$505,3,FALSE),VLOOKUP(B49,'Season 7 Stats'!$A$2:$C$508,3,FALSE))</f>
        <v>24</v>
      </c>
      <c r="E49" s="79">
        <f t="shared" si="1"/>
        <v>0.4</v>
      </c>
    </row>
    <row r="50" spans="1:5">
      <c r="A50" s="78">
        <f>RANK(Table18[[#This Row],[Win Percentage]],E:E)</f>
        <v>49</v>
      </c>
      <c r="B50" t="s">
        <v>531</v>
      </c>
      <c r="C50">
        <f>SUM(VLOOKUP(B50,'Season 1 Stats'!$A$2:$C$500,2,FALSE),VLOOKUP(B50,'Season 2 Stats'!$A$2:$C$500,2,FALSE),VLOOKUP(B50,'Season 3 Stats'!$A$2:$C$500,2,FALSE),VLOOKUP(B50,'Season 4 Stats'!$A$2:$C$500,2,FALSE),VLOOKUP(B50,'Season 5 Stats'!$A$2:$C$500,2,FALSE),VLOOKUP(B50,'Season 6 Stats'!$A$2:$C$505,2,FALSE),VLOOKUP(B50,'Season 7 Stats'!$A$2:$C$508,2,FALSE))</f>
        <v>17</v>
      </c>
      <c r="D50">
        <f>SUM(VLOOKUP(B50,'Season 1 Stats'!$A$2:$C$500,3,FALSE),VLOOKUP(B50,'Season 2 Stats'!$A$2:$C$500,3,FALSE),VLOOKUP(B50,'Season 3 Stats'!$A$2:$C$500,3,FALSE),VLOOKUP(B50,'Season 4 Stats'!$A$2:$C$500,3,FALSE),VLOOKUP(B50,'Season 5 Stats'!$A$2:$C$500,3,FALSE),VLOOKUP(B50,'Season 6 Stats'!$A$2:$C$505,3,FALSE),VLOOKUP(B50,'Season 7 Stats'!$A$2:$C$508,3,FALSE))</f>
        <v>26</v>
      </c>
      <c r="E50" s="79">
        <f t="shared" si="1"/>
        <v>0.39534883720930231</v>
      </c>
    </row>
    <row r="51" spans="1:5">
      <c r="A51" s="78">
        <f>RANK(Table18[[#This Row],[Win Percentage]],E:E)</f>
        <v>50</v>
      </c>
      <c r="B51" t="s">
        <v>9</v>
      </c>
      <c r="C51">
        <f>SUM(VLOOKUP(B51,'Season 1 Stats'!$A$2:$C$500,2,FALSE),VLOOKUP(B51,'Season 2 Stats'!$A$2:$C$500,2,FALSE),VLOOKUP(B51,'Season 3 Stats'!$A$2:$C$500,2,FALSE),VLOOKUP(B51,'Season 4 Stats'!$A$2:$C$500,2,FALSE),VLOOKUP(B51,'Season 5 Stats'!$A$2:$C$500,2,FALSE),VLOOKUP(B51,'Season 6 Stats'!$A$2:$C$505,2,FALSE),VLOOKUP(B51,'Season 7 Stats'!$A$2:$C$508,2,FALSE))</f>
        <v>13</v>
      </c>
      <c r="D51">
        <f>SUM(VLOOKUP(B51,'Season 1 Stats'!$A$2:$C$500,3,FALSE),VLOOKUP(B51,'Season 2 Stats'!$A$2:$C$500,3,FALSE),VLOOKUP(B51,'Season 3 Stats'!$A$2:$C$500,3,FALSE),VLOOKUP(B51,'Season 4 Stats'!$A$2:$C$500,3,FALSE),VLOOKUP(B51,'Season 5 Stats'!$A$2:$C$500,3,FALSE),VLOOKUP(B51,'Season 6 Stats'!$A$2:$C$505,3,FALSE),VLOOKUP(B51,'Season 7 Stats'!$A$2:$C$508,3,FALSE))</f>
        <v>21</v>
      </c>
      <c r="E51" s="79">
        <f t="shared" si="1"/>
        <v>0.38235294117647056</v>
      </c>
    </row>
    <row r="52" spans="1:5">
      <c r="A52" s="78">
        <f>RANK(Table18[[#This Row],[Win Percentage]],E:E)</f>
        <v>51</v>
      </c>
      <c r="B52" t="s">
        <v>16</v>
      </c>
      <c r="C52">
        <f>SUM(VLOOKUP(B52,'Season 1 Stats'!$A$2:$C$500,2,FALSE),VLOOKUP(B52,'Season 2 Stats'!$A$2:$C$500,2,FALSE),VLOOKUP(B52,'Season 3 Stats'!$A$2:$C$500,2,FALSE),VLOOKUP(B52,'Season 4 Stats'!$A$2:$C$500,2,FALSE),VLOOKUP(B52,'Season 5 Stats'!$A$2:$C$500,2,FALSE),VLOOKUP(B52,'Season 6 Stats'!$A$2:$C$505,2,FALSE),VLOOKUP(B52,'Season 7 Stats'!$A$2:$C$508,2,FALSE))</f>
        <v>14</v>
      </c>
      <c r="D52">
        <f>SUM(VLOOKUP(B52,'Season 1 Stats'!$A$2:$C$500,3,FALSE),VLOOKUP(B52,'Season 2 Stats'!$A$2:$C$500,3,FALSE),VLOOKUP(B52,'Season 3 Stats'!$A$2:$C$500,3,FALSE),VLOOKUP(B52,'Season 4 Stats'!$A$2:$C$500,3,FALSE),VLOOKUP(B52,'Season 5 Stats'!$A$2:$C$500,3,FALSE),VLOOKUP(B52,'Season 6 Stats'!$A$2:$C$505,3,FALSE),VLOOKUP(B52,'Season 7 Stats'!$A$2:$C$508,3,FALSE))</f>
        <v>23</v>
      </c>
      <c r="E52" s="79">
        <f t="shared" si="1"/>
        <v>0.3783783783783784</v>
      </c>
    </row>
    <row r="53" spans="1:5">
      <c r="A53" s="78">
        <f>RANK(Table18[[#This Row],[Win Percentage]],E:E)</f>
        <v>52</v>
      </c>
      <c r="B53" t="s">
        <v>67</v>
      </c>
      <c r="C53">
        <f>SUM(VLOOKUP(B53,'Season 1 Stats'!$A$2:$C$500,2,FALSE),VLOOKUP(B53,'Season 2 Stats'!$A$2:$C$500,2,FALSE),VLOOKUP(B53,'Season 3 Stats'!$A$2:$C$500,2,FALSE),VLOOKUP(B53,'Season 4 Stats'!$A$2:$C$500,2,FALSE),VLOOKUP(B53,'Season 5 Stats'!$A$2:$C$500,2,FALSE),VLOOKUP(B53,'Season 6 Stats'!$A$2:$C$505,2,FALSE),VLOOKUP(B53,'Season 7 Stats'!$A$2:$C$508,2,FALSE))</f>
        <v>75</v>
      </c>
      <c r="D53">
        <f>SUM(VLOOKUP(B53,'Season 1 Stats'!$A$2:$C$500,3,FALSE),VLOOKUP(B53,'Season 2 Stats'!$A$2:$C$500,3,FALSE),VLOOKUP(B53,'Season 3 Stats'!$A$2:$C$500,3,FALSE),VLOOKUP(B53,'Season 4 Stats'!$A$2:$C$500,3,FALSE),VLOOKUP(B53,'Season 5 Stats'!$A$2:$C$500,3,FALSE),VLOOKUP(B53,'Season 6 Stats'!$A$2:$C$505,3,FALSE),VLOOKUP(B53,'Season 7 Stats'!$A$2:$C$508,3,FALSE))</f>
        <v>133</v>
      </c>
      <c r="E53" s="79">
        <f t="shared" si="1"/>
        <v>0.36057692307692307</v>
      </c>
    </row>
    <row r="54" spans="1:5">
      <c r="A54" s="78">
        <f>RANK(Table18[[#This Row],[Win Percentage]],E:E)</f>
        <v>53</v>
      </c>
      <c r="B54" t="s">
        <v>290</v>
      </c>
      <c r="C54">
        <f>SUM(VLOOKUP(B54,'Season 1 Stats'!$A$2:$C$500,2,FALSE),VLOOKUP(B54,'Season 2 Stats'!$A$2:$C$500,2,FALSE),VLOOKUP(B54,'Season 3 Stats'!$A$2:$C$500,2,FALSE),VLOOKUP(B54,'Season 4 Stats'!$A$2:$C$500,2,FALSE),VLOOKUP(B54,'Season 5 Stats'!$A$2:$C$500,2,FALSE),VLOOKUP(B54,'Season 6 Stats'!$A$2:$C$505,2,FALSE),VLOOKUP(B54,'Season 7 Stats'!$A$2:$C$508,2,FALSE))</f>
        <v>14</v>
      </c>
      <c r="D54">
        <f>SUM(VLOOKUP(B54,'Season 1 Stats'!$A$2:$C$500,3,FALSE),VLOOKUP(B54,'Season 2 Stats'!$A$2:$C$500,3,FALSE),VLOOKUP(B54,'Season 3 Stats'!$A$2:$C$500,3,FALSE),VLOOKUP(B54,'Season 4 Stats'!$A$2:$C$500,3,FALSE),VLOOKUP(B54,'Season 5 Stats'!$A$2:$C$500,3,FALSE),VLOOKUP(B54,'Season 6 Stats'!$A$2:$C$505,3,FALSE),VLOOKUP(B54,'Season 7 Stats'!$A$2:$C$508,3,FALSE))</f>
        <v>27</v>
      </c>
      <c r="E54" s="79">
        <f t="shared" si="1"/>
        <v>0.34146341463414637</v>
      </c>
    </row>
    <row r="55" spans="1:5">
      <c r="A55" s="78">
        <f>RANK(Table18[[#This Row],[Win Percentage]],E:E)</f>
        <v>54</v>
      </c>
      <c r="B55" t="s">
        <v>20</v>
      </c>
      <c r="C55">
        <f>SUM(VLOOKUP(B55,'Season 1 Stats'!$A$2:$C$500,2,FALSE),VLOOKUP(B55,'Season 2 Stats'!$A$2:$C$500,2,FALSE),VLOOKUP(B55,'Season 3 Stats'!$A$2:$C$500,2,FALSE),VLOOKUP(B55,'Season 4 Stats'!$A$2:$C$500,2,FALSE),VLOOKUP(B55,'Season 5 Stats'!$A$2:$C$500,2,FALSE),VLOOKUP(B55,'Season 6 Stats'!$A$2:$C$505,2,FALSE),VLOOKUP(B55,'Season 7 Stats'!$A$2:$C$508,2,FALSE))</f>
        <v>10</v>
      </c>
      <c r="D55">
        <f>SUM(VLOOKUP(B55,'Season 1 Stats'!$A$2:$C$500,3,FALSE),VLOOKUP(B55,'Season 2 Stats'!$A$2:$C$500,3,FALSE),VLOOKUP(B55,'Season 3 Stats'!$A$2:$C$500,3,FALSE),VLOOKUP(B55,'Season 4 Stats'!$A$2:$C$500,3,FALSE),VLOOKUP(B55,'Season 5 Stats'!$A$2:$C$500,3,FALSE),VLOOKUP(B55,'Season 6 Stats'!$A$2:$C$505,3,FALSE),VLOOKUP(B55,'Season 7 Stats'!$A$2:$C$508,3,FALSE))</f>
        <v>20</v>
      </c>
      <c r="E55" s="79">
        <f t="shared" si="1"/>
        <v>0.33333333333333331</v>
      </c>
    </row>
    <row r="56" spans="1:5">
      <c r="A56" s="78">
        <f>RANK(Table18[[#This Row],[Win Percentage]],E:E)</f>
        <v>55</v>
      </c>
      <c r="B56" t="s">
        <v>43</v>
      </c>
      <c r="C56">
        <f>SUM(VLOOKUP(B56,'Season 1 Stats'!$A$2:$C$500,2,FALSE),VLOOKUP(B56,'Season 2 Stats'!$A$2:$C$500,2,FALSE),VLOOKUP(B56,'Season 3 Stats'!$A$2:$C$500,2,FALSE),VLOOKUP(B56,'Season 4 Stats'!$A$2:$C$500,2,FALSE),VLOOKUP(B56,'Season 5 Stats'!$A$2:$C$500,2,FALSE),VLOOKUP(B56,'Season 6 Stats'!$A$2:$C$505,2,FALSE),VLOOKUP(B56,'Season 7 Stats'!$A$2:$C$508,2,FALSE))</f>
        <v>61</v>
      </c>
      <c r="D56">
        <f>SUM(VLOOKUP(B56,'Season 1 Stats'!$A$2:$C$500,3,FALSE),VLOOKUP(B56,'Season 2 Stats'!$A$2:$C$500,3,FALSE),VLOOKUP(B56,'Season 3 Stats'!$A$2:$C$500,3,FALSE),VLOOKUP(B56,'Season 4 Stats'!$A$2:$C$500,3,FALSE),VLOOKUP(B56,'Season 5 Stats'!$A$2:$C$500,3,FALSE),VLOOKUP(B56,'Season 6 Stats'!$A$2:$C$505,3,FALSE),VLOOKUP(B56,'Season 7 Stats'!$A$2:$C$508,3,FALSE))</f>
        <v>126</v>
      </c>
      <c r="E56" s="79">
        <f t="shared" si="1"/>
        <v>0.32620320855614976</v>
      </c>
    </row>
    <row r="57" spans="1:5">
      <c r="A57" s="78">
        <f>RANK(Table18[[#This Row],[Win Percentage]],E:E)</f>
        <v>56</v>
      </c>
      <c r="B57" t="s">
        <v>11</v>
      </c>
      <c r="C57">
        <f>SUM(VLOOKUP(B57,'Season 1 Stats'!$A$2:$C$500,2,FALSE),VLOOKUP(B57,'Season 2 Stats'!$A$2:$C$500,2,FALSE),VLOOKUP(B57,'Season 3 Stats'!$A$2:$C$500,2,FALSE),VLOOKUP(B57,'Season 4 Stats'!$A$2:$C$500,2,FALSE),VLOOKUP(B57,'Season 5 Stats'!$A$2:$C$500,2,FALSE),VLOOKUP(B57,'Season 6 Stats'!$A$2:$C$505,2,FALSE),VLOOKUP(B57,'Season 7 Stats'!$A$2:$C$508,2,FALSE))</f>
        <v>13</v>
      </c>
      <c r="D57">
        <f>SUM(VLOOKUP(B57,'Season 1 Stats'!$A$2:$C$500,3,FALSE),VLOOKUP(B57,'Season 2 Stats'!$A$2:$C$500,3,FALSE),VLOOKUP(B57,'Season 3 Stats'!$A$2:$C$500,3,FALSE),VLOOKUP(B57,'Season 4 Stats'!$A$2:$C$500,3,FALSE),VLOOKUP(B57,'Season 5 Stats'!$A$2:$C$500,3,FALSE),VLOOKUP(B57,'Season 6 Stats'!$A$2:$C$505,3,FALSE),VLOOKUP(B57,'Season 7 Stats'!$A$2:$C$508,3,FALSE))</f>
        <v>28</v>
      </c>
      <c r="E57" s="79">
        <f t="shared" si="1"/>
        <v>0.31707317073170732</v>
      </c>
    </row>
    <row r="58" spans="1:5">
      <c r="A58" s="78">
        <f>RANK(Table18[[#This Row],[Win Percentage]],E:E)</f>
        <v>57</v>
      </c>
      <c r="B58" t="s">
        <v>533</v>
      </c>
      <c r="C58">
        <f>SUM(VLOOKUP(B58,'Season 1 Stats'!$A$2:$C$500,2,FALSE),VLOOKUP(B58,'Season 2 Stats'!$A$2:$C$500,2,FALSE),VLOOKUP(B58,'Season 3 Stats'!$A$2:$C$500,2,FALSE),VLOOKUP(B58,'Season 4 Stats'!$A$2:$C$500,2,FALSE),VLOOKUP(B58,'Season 5 Stats'!$A$2:$C$500,2,FALSE),VLOOKUP(B58,'Season 6 Stats'!$A$2:$C$505,2,FALSE),VLOOKUP(B58,'Season 7 Stats'!$A$2:$C$508,2,FALSE))</f>
        <v>11</v>
      </c>
      <c r="D58">
        <f>SUM(VLOOKUP(B58,'Season 1 Stats'!$A$2:$C$500,3,FALSE),VLOOKUP(B58,'Season 2 Stats'!$A$2:$C$500,3,FALSE),VLOOKUP(B58,'Season 3 Stats'!$A$2:$C$500,3,FALSE),VLOOKUP(B58,'Season 4 Stats'!$A$2:$C$500,3,FALSE),VLOOKUP(B58,'Season 5 Stats'!$A$2:$C$500,3,FALSE),VLOOKUP(B58,'Season 6 Stats'!$A$2:$C$505,3,FALSE),VLOOKUP(B58,'Season 7 Stats'!$A$2:$C$508,3,FALSE))</f>
        <v>24</v>
      </c>
      <c r="E58" s="79">
        <f t="shared" si="1"/>
        <v>0.31428571428571428</v>
      </c>
    </row>
    <row r="59" spans="1:5">
      <c r="A59" s="78">
        <f>RANK(Table18[[#This Row],[Win Percentage]],E:E)</f>
        <v>58</v>
      </c>
      <c r="B59" t="s">
        <v>62</v>
      </c>
      <c r="C59">
        <f>SUM(VLOOKUP(B59,'Season 1 Stats'!$A$2:$C$500,2,FALSE),VLOOKUP(B59,'Season 2 Stats'!$A$2:$C$500,2,FALSE),VLOOKUP(B59,'Season 3 Stats'!$A$2:$C$500,2,FALSE),VLOOKUP(B59,'Season 4 Stats'!$A$2:$C$500,2,FALSE),VLOOKUP(B59,'Season 5 Stats'!$A$2:$C$500,2,FALSE),VLOOKUP(B59,'Season 6 Stats'!$A$2:$C$505,2,FALSE),VLOOKUP(B59,'Season 7 Stats'!$A$2:$C$508,2,FALSE))</f>
        <v>47</v>
      </c>
      <c r="D59">
        <f>SUM(VLOOKUP(B59,'Season 1 Stats'!$A$2:$C$500,3,FALSE),VLOOKUP(B59,'Season 2 Stats'!$A$2:$C$500,3,FALSE),VLOOKUP(B59,'Season 3 Stats'!$A$2:$C$500,3,FALSE),VLOOKUP(B59,'Season 4 Stats'!$A$2:$C$500,3,FALSE),VLOOKUP(B59,'Season 5 Stats'!$A$2:$C$500,3,FALSE),VLOOKUP(B59,'Season 6 Stats'!$A$2:$C$505,3,FALSE),VLOOKUP(B59,'Season 7 Stats'!$A$2:$C$508,3,FALSE))</f>
        <v>117</v>
      </c>
      <c r="E59" s="79">
        <f t="shared" si="1"/>
        <v>0.28658536585365851</v>
      </c>
    </row>
    <row r="60" spans="1:5">
      <c r="A60" s="78">
        <f>RANK(Table18[[#This Row],[Win Percentage]],E:E)</f>
        <v>59</v>
      </c>
      <c r="B60" t="s">
        <v>6</v>
      </c>
      <c r="C60">
        <f>SUM(VLOOKUP(B60,'Season 1 Stats'!$A$2:$C$500,2,FALSE),VLOOKUP(B60,'Season 2 Stats'!$A$2:$C$500,2,FALSE),VLOOKUP(B60,'Season 3 Stats'!$A$2:$C$500,2,FALSE),VLOOKUP(B60,'Season 4 Stats'!$A$2:$C$500,2,FALSE),VLOOKUP(B60,'Season 5 Stats'!$A$2:$C$500,2,FALSE),VLOOKUP(B60,'Season 6 Stats'!$A$2:$C$505,2,FALSE),VLOOKUP(B60,'Season 7 Stats'!$A$2:$C$508,2,FALSE))</f>
        <v>11</v>
      </c>
      <c r="D60">
        <f>SUM(VLOOKUP(B60,'Season 1 Stats'!$A$2:$C$500,3,FALSE),VLOOKUP(B60,'Season 2 Stats'!$A$2:$C$500,3,FALSE),VLOOKUP(B60,'Season 3 Stats'!$A$2:$C$500,3,FALSE),VLOOKUP(B60,'Season 4 Stats'!$A$2:$C$500,3,FALSE),VLOOKUP(B60,'Season 5 Stats'!$A$2:$C$500,3,FALSE),VLOOKUP(B60,'Season 6 Stats'!$A$2:$C$505,3,FALSE),VLOOKUP(B60,'Season 7 Stats'!$A$2:$C$508,3,FALSE))</f>
        <v>28</v>
      </c>
      <c r="E60" s="79">
        <f t="shared" si="1"/>
        <v>0.28205128205128205</v>
      </c>
    </row>
    <row r="61" spans="1:5">
      <c r="A61" s="78">
        <f>RANK(Table18[[#This Row],[Win Percentage]],E:E)</f>
        <v>60</v>
      </c>
      <c r="B61" t="s">
        <v>291</v>
      </c>
      <c r="C61">
        <f>SUM(VLOOKUP(B61,'Season 1 Stats'!$A$2:$C$500,2,FALSE),VLOOKUP(B61,'Season 2 Stats'!$A$2:$C$500,2,FALSE),VLOOKUP(B61,'Season 3 Stats'!$A$2:$C$500,2,FALSE),VLOOKUP(B61,'Season 4 Stats'!$A$2:$C$500,2,FALSE),VLOOKUP(B61,'Season 5 Stats'!$A$2:$C$500,2,FALSE),VLOOKUP(B61,'Season 6 Stats'!$A$2:$C$505,2,FALSE),VLOOKUP(B61,'Season 7 Stats'!$A$2:$C$508,2,FALSE))</f>
        <v>7</v>
      </c>
      <c r="D61">
        <f>SUM(VLOOKUP(B61,'Season 1 Stats'!$A$2:$C$500,3,FALSE),VLOOKUP(B61,'Season 2 Stats'!$A$2:$C$500,3,FALSE),VLOOKUP(B61,'Season 3 Stats'!$A$2:$C$500,3,FALSE),VLOOKUP(B61,'Season 4 Stats'!$A$2:$C$500,3,FALSE),VLOOKUP(B61,'Season 5 Stats'!$A$2:$C$500,3,FALSE),VLOOKUP(B61,'Season 6 Stats'!$A$2:$C$505,3,FALSE),VLOOKUP(B61,'Season 7 Stats'!$A$2:$C$508,3,FALSE))</f>
        <v>18</v>
      </c>
      <c r="E61" s="79">
        <f t="shared" si="1"/>
        <v>0.28000000000000003</v>
      </c>
    </row>
    <row r="62" spans="1:5">
      <c r="A62" s="78">
        <f>RANK(Table18[[#This Row],[Win Percentage]],E:E)</f>
        <v>61</v>
      </c>
      <c r="B62" t="s">
        <v>4</v>
      </c>
      <c r="C62">
        <f>SUM(VLOOKUP(B62,'Season 1 Stats'!$A$2:$C$500,2,FALSE),VLOOKUP(B62,'Season 2 Stats'!$A$2:$C$500,2,FALSE),VLOOKUP(B62,'Season 3 Stats'!$A$2:$C$500,2,FALSE),VLOOKUP(B62,'Season 4 Stats'!$A$2:$C$500,2,FALSE),VLOOKUP(B62,'Season 5 Stats'!$A$2:$C$500,2,FALSE),VLOOKUP(B62,'Season 6 Stats'!$A$2:$C$505,2,FALSE),VLOOKUP(B62,'Season 7 Stats'!$A$2:$C$508,2,FALSE))</f>
        <v>9</v>
      </c>
      <c r="D62">
        <f>SUM(VLOOKUP(B62,'Season 1 Stats'!$A$2:$C$500,3,FALSE),VLOOKUP(B62,'Season 2 Stats'!$A$2:$C$500,3,FALSE),VLOOKUP(B62,'Season 3 Stats'!$A$2:$C$500,3,FALSE),VLOOKUP(B62,'Season 4 Stats'!$A$2:$C$500,3,FALSE),VLOOKUP(B62,'Season 5 Stats'!$A$2:$C$500,3,FALSE),VLOOKUP(B62,'Season 6 Stats'!$A$2:$C$505,3,FALSE),VLOOKUP(B62,'Season 7 Stats'!$A$2:$C$508,3,FALSE))</f>
        <v>24</v>
      </c>
      <c r="E62" s="79">
        <f t="shared" si="1"/>
        <v>0.27272727272727271</v>
      </c>
    </row>
    <row r="63" spans="1:5">
      <c r="A63" s="78">
        <f>RANK(Table18[[#This Row],[Win Percentage]],E:E)</f>
        <v>62</v>
      </c>
      <c r="B63" t="s">
        <v>57</v>
      </c>
      <c r="C63">
        <f>SUM(VLOOKUP(B63,'Season 1 Stats'!$A$2:$C$500,2,FALSE),VLOOKUP(B63,'Season 2 Stats'!$A$2:$C$500,2,FALSE),VLOOKUP(B63,'Season 3 Stats'!$A$2:$C$500,2,FALSE),VLOOKUP(B63,'Season 4 Stats'!$A$2:$C$500,2,FALSE),VLOOKUP(B63,'Season 5 Stats'!$A$2:$C$500,2,FALSE),VLOOKUP(B63,'Season 6 Stats'!$A$2:$C$505,2,FALSE),VLOOKUP(B63,'Season 7 Stats'!$A$2:$C$508,2,FALSE))</f>
        <v>39</v>
      </c>
      <c r="D63">
        <f>SUM(VLOOKUP(B63,'Season 1 Stats'!$A$2:$C$500,3,FALSE),VLOOKUP(B63,'Season 2 Stats'!$A$2:$C$500,3,FALSE),VLOOKUP(B63,'Season 3 Stats'!$A$2:$C$500,3,FALSE),VLOOKUP(B63,'Season 4 Stats'!$A$2:$C$500,3,FALSE),VLOOKUP(B63,'Season 5 Stats'!$A$2:$C$500,3,FALSE),VLOOKUP(B63,'Season 6 Stats'!$A$2:$C$505,3,FALSE),VLOOKUP(B63,'Season 7 Stats'!$A$2:$C$508,3,FALSE))</f>
        <v>111</v>
      </c>
      <c r="E63" s="79">
        <f t="shared" si="1"/>
        <v>0.26</v>
      </c>
    </row>
    <row r="64" spans="1:5">
      <c r="A64" s="78">
        <f>RANK(Table18[[#This Row],[Win Percentage]],E:E)</f>
        <v>63</v>
      </c>
      <c r="B64" t="s">
        <v>21</v>
      </c>
      <c r="C64">
        <f>SUM(VLOOKUP(B64,'Season 1 Stats'!$A$2:$C$500,2,FALSE),VLOOKUP(B64,'Season 2 Stats'!$A$2:$C$500,2,FALSE),VLOOKUP(B64,'Season 3 Stats'!$A$2:$C$500,2,FALSE),VLOOKUP(B64,'Season 4 Stats'!$A$2:$C$500,2,FALSE),VLOOKUP(B64,'Season 5 Stats'!$A$2:$C$500,2,FALSE),VLOOKUP(B64,'Season 6 Stats'!$A$2:$C$505,2,FALSE),VLOOKUP(B64,'Season 7 Stats'!$A$2:$C$508,2,FALSE))</f>
        <v>8</v>
      </c>
      <c r="D64">
        <f>SUM(VLOOKUP(B64,'Season 1 Stats'!$A$2:$C$500,3,FALSE),VLOOKUP(B64,'Season 2 Stats'!$A$2:$C$500,3,FALSE),VLOOKUP(B64,'Season 3 Stats'!$A$2:$C$500,3,FALSE),VLOOKUP(B64,'Season 4 Stats'!$A$2:$C$500,3,FALSE),VLOOKUP(B64,'Season 5 Stats'!$A$2:$C$500,3,FALSE),VLOOKUP(B64,'Season 6 Stats'!$A$2:$C$505,3,FALSE),VLOOKUP(B64,'Season 7 Stats'!$A$2:$C$508,3,FALSE))</f>
        <v>23</v>
      </c>
      <c r="E64" s="79">
        <f t="shared" si="1"/>
        <v>0.25806451612903225</v>
      </c>
    </row>
    <row r="65" spans="1:5">
      <c r="A65" s="78">
        <f>RANK(Table18[[#This Row],[Win Percentage]],E:E)</f>
        <v>63</v>
      </c>
      <c r="B65" t="s">
        <v>22</v>
      </c>
      <c r="C65">
        <f>SUM(VLOOKUP(B65,'Season 1 Stats'!$A$2:$C$500,2,FALSE),VLOOKUP(B65,'Season 2 Stats'!$A$2:$C$500,2,FALSE),VLOOKUP(B65,'Season 3 Stats'!$A$2:$C$500,2,FALSE),VLOOKUP(B65,'Season 4 Stats'!$A$2:$C$500,2,FALSE),VLOOKUP(B65,'Season 5 Stats'!$A$2:$C$500,2,FALSE),VLOOKUP(B65,'Season 6 Stats'!$A$2:$C$505,2,FALSE),VLOOKUP(B65,'Season 7 Stats'!$A$2:$C$508,2,FALSE))</f>
        <v>8</v>
      </c>
      <c r="D65">
        <f>SUM(VLOOKUP(B65,'Season 1 Stats'!$A$2:$C$500,3,FALSE),VLOOKUP(B65,'Season 2 Stats'!$A$2:$C$500,3,FALSE),VLOOKUP(B65,'Season 3 Stats'!$A$2:$C$500,3,FALSE),VLOOKUP(B65,'Season 4 Stats'!$A$2:$C$500,3,FALSE),VLOOKUP(B65,'Season 5 Stats'!$A$2:$C$500,3,FALSE),VLOOKUP(B65,'Season 6 Stats'!$A$2:$C$505,3,FALSE),VLOOKUP(B65,'Season 7 Stats'!$A$2:$C$508,3,FALSE))</f>
        <v>23</v>
      </c>
      <c r="E65" s="79">
        <f t="shared" si="1"/>
        <v>0.25806451612903225</v>
      </c>
    </row>
    <row r="66" spans="1:5">
      <c r="A66" s="78">
        <f>RANK(Table18[[#This Row],[Win Percentage]],E:E)</f>
        <v>65</v>
      </c>
      <c r="B66" t="s">
        <v>40</v>
      </c>
      <c r="C66">
        <f>SUM(VLOOKUP(B66,'Season 1 Stats'!$A$2:$C$500,2,FALSE),VLOOKUP(B66,'Season 2 Stats'!$A$2:$C$500,2,FALSE),VLOOKUP(B66,'Season 3 Stats'!$A$2:$C$500,2,FALSE),VLOOKUP(B66,'Season 4 Stats'!$A$2:$C$500,2,FALSE),VLOOKUP(B66,'Season 5 Stats'!$A$2:$C$500,2,FALSE),VLOOKUP(B66,'Season 6 Stats'!$A$2:$C$505,2,FALSE),VLOOKUP(B66,'Season 7 Stats'!$A$2:$C$508,2,FALSE))</f>
        <v>38</v>
      </c>
      <c r="D66">
        <f>SUM(VLOOKUP(B66,'Season 1 Stats'!$A$2:$C$500,3,FALSE),VLOOKUP(B66,'Season 2 Stats'!$A$2:$C$500,3,FALSE),VLOOKUP(B66,'Season 3 Stats'!$A$2:$C$500,3,FALSE),VLOOKUP(B66,'Season 4 Stats'!$A$2:$C$500,3,FALSE),VLOOKUP(B66,'Season 5 Stats'!$A$2:$C$500,3,FALSE),VLOOKUP(B66,'Season 6 Stats'!$A$2:$C$505,3,FALSE),VLOOKUP(B66,'Season 7 Stats'!$A$2:$C$508,3,FALSE))</f>
        <v>120</v>
      </c>
      <c r="E66" s="79">
        <f t="shared" ref="E66:E74" si="2">IF(ISERROR(C66/(C66+D66)),0%,C66/(C66+D66))</f>
        <v>0.24050632911392406</v>
      </c>
    </row>
    <row r="67" spans="1:5">
      <c r="A67" s="78">
        <f>RANK(Table18[[#This Row],[Win Percentage]],E:E)</f>
        <v>66</v>
      </c>
      <c r="B67" t="s">
        <v>23</v>
      </c>
      <c r="C67">
        <f>SUM(VLOOKUP(B67,'Season 1 Stats'!$A$2:$C$500,2,FALSE),VLOOKUP(B67,'Season 2 Stats'!$A$2:$C$500,2,FALSE),VLOOKUP(B67,'Season 3 Stats'!$A$2:$C$500,2,FALSE),VLOOKUP(B67,'Season 4 Stats'!$A$2:$C$500,2,FALSE),VLOOKUP(B67,'Season 5 Stats'!$A$2:$C$500,2,FALSE),VLOOKUP(B67,'Season 6 Stats'!$A$2:$C$505,2,FALSE),VLOOKUP(B67,'Season 7 Stats'!$A$2:$C$508,2,FALSE))</f>
        <v>5</v>
      </c>
      <c r="D67">
        <f>SUM(VLOOKUP(B67,'Season 1 Stats'!$A$2:$C$500,3,FALSE),VLOOKUP(B67,'Season 2 Stats'!$A$2:$C$500,3,FALSE),VLOOKUP(B67,'Season 3 Stats'!$A$2:$C$500,3,FALSE),VLOOKUP(B67,'Season 4 Stats'!$A$2:$C$500,3,FALSE),VLOOKUP(B67,'Season 5 Stats'!$A$2:$C$500,3,FALSE),VLOOKUP(B67,'Season 6 Stats'!$A$2:$C$505,3,FALSE),VLOOKUP(B67,'Season 7 Stats'!$A$2:$C$508,3,FALSE))</f>
        <v>17</v>
      </c>
      <c r="E67" s="79">
        <f t="shared" si="2"/>
        <v>0.22727272727272727</v>
      </c>
    </row>
    <row r="68" spans="1:5">
      <c r="A68" s="78">
        <f>RANK(Table18[[#This Row],[Win Percentage]],E:E)</f>
        <v>67</v>
      </c>
      <c r="B68" t="s">
        <v>445</v>
      </c>
      <c r="C68">
        <f>SUM(VLOOKUP(B68,'Season 1 Stats'!$A$2:$C$500,2,FALSE),VLOOKUP(B68,'Season 2 Stats'!$A$2:$C$500,2,FALSE),VLOOKUP(B68,'Season 3 Stats'!$A$2:$C$500,2,FALSE),VLOOKUP(B68,'Season 4 Stats'!$A$2:$C$500,2,FALSE),VLOOKUP(B68,'Season 5 Stats'!$A$2:$C$500,2,FALSE),VLOOKUP(B68,'Season 6 Stats'!$A$2:$C$505,2,FALSE),VLOOKUP(B68,'Season 7 Stats'!$A$2:$C$508,2,FALSE))</f>
        <v>7</v>
      </c>
      <c r="D68">
        <f>SUM(VLOOKUP(B68,'Season 1 Stats'!$A$2:$C$500,3,FALSE),VLOOKUP(B68,'Season 2 Stats'!$A$2:$C$500,3,FALSE),VLOOKUP(B68,'Season 3 Stats'!$A$2:$C$500,3,FALSE),VLOOKUP(B68,'Season 4 Stats'!$A$2:$C$500,3,FALSE),VLOOKUP(B68,'Season 5 Stats'!$A$2:$C$500,3,FALSE),VLOOKUP(B68,'Season 6 Stats'!$A$2:$C$505,3,FALSE),VLOOKUP(B68,'Season 7 Stats'!$A$2:$C$508,3,FALSE))</f>
        <v>24</v>
      </c>
      <c r="E68" s="79">
        <f t="shared" si="2"/>
        <v>0.22580645161290322</v>
      </c>
    </row>
    <row r="69" spans="1:5">
      <c r="A69" s="78">
        <f>RANK(Table18[[#This Row],[Win Percentage]],E:E)</f>
        <v>68</v>
      </c>
      <c r="B69" t="s">
        <v>44</v>
      </c>
      <c r="C69">
        <f>SUM(VLOOKUP(B69,'Season 1 Stats'!$A$2:$C$500,2,FALSE),VLOOKUP(B69,'Season 2 Stats'!$A$2:$C$500,2,FALSE),VLOOKUP(B69,'Season 3 Stats'!$A$2:$C$500,2,FALSE),VLOOKUP(B69,'Season 4 Stats'!$A$2:$C$500,2,FALSE),VLOOKUP(B69,'Season 5 Stats'!$A$2:$C$500,2,FALSE),VLOOKUP(B69,'Season 6 Stats'!$A$2:$C$505,2,FALSE),VLOOKUP(B69,'Season 7 Stats'!$A$2:$C$508,2,FALSE))</f>
        <v>24</v>
      </c>
      <c r="D69">
        <f>SUM(VLOOKUP(B69,'Season 1 Stats'!$A$2:$C$500,3,FALSE),VLOOKUP(B69,'Season 2 Stats'!$A$2:$C$500,3,FALSE),VLOOKUP(B69,'Season 3 Stats'!$A$2:$C$500,3,FALSE),VLOOKUP(B69,'Season 4 Stats'!$A$2:$C$500,3,FALSE),VLOOKUP(B69,'Season 5 Stats'!$A$2:$C$500,3,FALSE),VLOOKUP(B69,'Season 6 Stats'!$A$2:$C$505,3,FALSE),VLOOKUP(B69,'Season 7 Stats'!$A$2:$C$508,3,FALSE))</f>
        <v>115</v>
      </c>
      <c r="E69" s="79">
        <f t="shared" si="2"/>
        <v>0.17266187050359713</v>
      </c>
    </row>
    <row r="70" spans="1:5">
      <c r="A70" s="78">
        <f>RANK(Table18[[#This Row],[Win Percentage]],E:E)</f>
        <v>70</v>
      </c>
      <c r="B70" t="s">
        <v>15</v>
      </c>
      <c r="C70">
        <f>SUM(VLOOKUP(B70,'Season 1 Stats'!$A$2:$C$500,2,FALSE),VLOOKUP(B70,'Season 2 Stats'!$A$2:$C$500,2,FALSE),VLOOKUP(B70,'Season 3 Stats'!$A$2:$C$500,2,FALSE),VLOOKUP(B70,'Season 4 Stats'!$A$2:$C$500,2,FALSE),VLOOKUP(B70,'Season 5 Stats'!$A$2:$C$500,2,FALSE),VLOOKUP(B70,'Season 6 Stats'!$A$2:$C$505,2,FALSE),VLOOKUP(B70,'Season 7 Stats'!$A$2:$C$508,2,FALSE))</f>
        <v>4</v>
      </c>
      <c r="D70">
        <f>SUM(VLOOKUP(B70,'Season 1 Stats'!$A$2:$C$500,3,FALSE),VLOOKUP(B70,'Season 2 Stats'!$A$2:$C$500,3,FALSE),VLOOKUP(B70,'Season 3 Stats'!$A$2:$C$500,3,FALSE),VLOOKUP(B70,'Season 4 Stats'!$A$2:$C$500,3,FALSE),VLOOKUP(B70,'Season 5 Stats'!$A$2:$C$500,3,FALSE),VLOOKUP(B70,'Season 6 Stats'!$A$2:$C$505,3,FALSE),VLOOKUP(B70,'Season 7 Stats'!$A$2:$C$508,3,FALSE))</f>
        <v>22</v>
      </c>
      <c r="E70" s="79">
        <f t="shared" si="2"/>
        <v>0.15384615384615385</v>
      </c>
    </row>
    <row r="71" spans="1:5">
      <c r="A71" s="78">
        <f>RANK(Table18[[#This Row],[Win Percentage]],E:E)</f>
        <v>69</v>
      </c>
      <c r="B71" t="s">
        <v>48</v>
      </c>
      <c r="C71">
        <f>SUM(VLOOKUP(B71,'Season 1 Stats'!$A$2:$C$500,2,FALSE),VLOOKUP(B71,'Season 2 Stats'!$A$2:$C$500,2,FALSE),VLOOKUP(B71,'Season 3 Stats'!$A$2:$C$500,2,FALSE),VLOOKUP(B71,'Season 4 Stats'!$A$2:$C$500,2,FALSE),VLOOKUP(B71,'Season 5 Stats'!$A$2:$C$500,2,FALSE),VLOOKUP(B71,'Season 6 Stats'!$A$2:$C$505,2,FALSE),VLOOKUP(B71,'Season 7 Stats'!$A$2:$C$508,2,FALSE))</f>
        <v>20</v>
      </c>
      <c r="D71">
        <f>SUM(VLOOKUP(B71,'Season 1 Stats'!$A$2:$C$500,3,FALSE),VLOOKUP(B71,'Season 2 Stats'!$A$2:$C$500,3,FALSE),VLOOKUP(B71,'Season 3 Stats'!$A$2:$C$500,3,FALSE),VLOOKUP(B71,'Season 4 Stats'!$A$2:$C$500,3,FALSE),VLOOKUP(B71,'Season 5 Stats'!$A$2:$C$500,3,FALSE),VLOOKUP(B71,'Season 6 Stats'!$A$2:$C$505,3,FALSE),VLOOKUP(B71,'Season 7 Stats'!$A$2:$C$508,3,FALSE))</f>
        <v>105</v>
      </c>
      <c r="E71" s="79">
        <f t="shared" si="2"/>
        <v>0.16</v>
      </c>
    </row>
    <row r="72" spans="1:5">
      <c r="A72" s="78">
        <f>RANK(Table18[[#This Row],[Win Percentage]],E:E)</f>
        <v>71</v>
      </c>
      <c r="B72" t="s">
        <v>722</v>
      </c>
      <c r="C72">
        <f>SUM(VLOOKUP(B72,'Season 1 Stats'!$A$2:$C$500,2,FALSE),VLOOKUP(B72,'Season 2 Stats'!$A$2:$C$500,2,FALSE),VLOOKUP(B72,'Season 3 Stats'!$A$2:$C$500,2,FALSE),VLOOKUP(B72,'Season 4 Stats'!$A$2:$C$500,2,FALSE),VLOOKUP(B72,'Season 5 Stats'!$A$2:$C$500,2,FALSE),VLOOKUP(B72,'Season 6 Stats'!$A$2:$C$505,2,FALSE),VLOOKUP(B72,'Season 7 Stats'!$A$2:$C$508,2,FALSE))</f>
        <v>1</v>
      </c>
      <c r="D72">
        <f>SUM(VLOOKUP(B72,'Season 1 Stats'!$A$2:$C$500,3,FALSE),VLOOKUP(B72,'Season 2 Stats'!$A$2:$C$500,3,FALSE),VLOOKUP(B72,'Season 3 Stats'!$A$2:$C$500,3,FALSE),VLOOKUP(B72,'Season 4 Stats'!$A$2:$C$500,3,FALSE),VLOOKUP(B72,'Season 5 Stats'!$A$2:$C$500,3,FALSE),VLOOKUP(B72,'Season 6 Stats'!$A$2:$C$505,3,FALSE),VLOOKUP(B72,'Season 7 Stats'!$A$2:$C$508,3,FALSE))</f>
        <v>12</v>
      </c>
      <c r="E72" s="79">
        <f t="shared" si="2"/>
        <v>7.6923076923076927E-2</v>
      </c>
    </row>
    <row r="73" spans="1:5">
      <c r="A73" s="78">
        <f>RANK(Table18[[#This Row],[Win Percentage]],E:E)</f>
        <v>72</v>
      </c>
      <c r="B73" t="s">
        <v>10</v>
      </c>
      <c r="C73">
        <f>SUM(VLOOKUP(B73,'Season 1 Stats'!$A$2:$C$500,2,FALSE),VLOOKUP(B73,'Season 2 Stats'!$A$2:$C$500,2,FALSE),VLOOKUP(B73,'Season 3 Stats'!$A$2:$C$500,2,FALSE),VLOOKUP(B73,'Season 4 Stats'!$A$2:$C$500,2,FALSE),VLOOKUP(B73,'Season 5 Stats'!$A$2:$C$500,2,FALSE),VLOOKUP(B73,'Season 6 Stats'!$A$2:$C$505,2,FALSE),VLOOKUP(B73,'Season 7 Stats'!$A$2:$C$508,2,FALSE))</f>
        <v>1</v>
      </c>
      <c r="D73">
        <f>SUM(VLOOKUP(B73,'Season 1 Stats'!$A$2:$C$500,3,FALSE),VLOOKUP(B73,'Season 2 Stats'!$A$2:$C$500,3,FALSE),VLOOKUP(B73,'Season 3 Stats'!$A$2:$C$500,3,FALSE),VLOOKUP(B73,'Season 4 Stats'!$A$2:$C$500,3,FALSE),VLOOKUP(B73,'Season 5 Stats'!$A$2:$C$500,3,FALSE),VLOOKUP(B73,'Season 6 Stats'!$A$2:$C$505,3,FALSE),VLOOKUP(B73,'Season 7 Stats'!$A$2:$C$508,3,FALSE))</f>
        <v>27</v>
      </c>
      <c r="E73" s="79">
        <f t="shared" si="2"/>
        <v>3.5714285714285712E-2</v>
      </c>
    </row>
    <row r="74" spans="1:5">
      <c r="A74" s="78">
        <f>RANK(Table18[[#This Row],[Win Percentage]],E:E)</f>
        <v>73</v>
      </c>
      <c r="B74" t="s">
        <v>18</v>
      </c>
      <c r="C74">
        <f>SUM(VLOOKUP(B74,'Season 1 Stats'!$A$2:$C$500,2,FALSE),VLOOKUP(B74,'Season 2 Stats'!$A$2:$C$500,2,FALSE),VLOOKUP(B74,'Season 3 Stats'!$A$2:$C$500,2,FALSE),VLOOKUP(B74,'Season 4 Stats'!$A$2:$C$500,2,FALSE),VLOOKUP(B74,'Season 5 Stats'!$A$2:$C$500,2,FALSE),VLOOKUP(B74,'Season 6 Stats'!$A$2:$C$505,2,FALSE),VLOOKUP(B74,'Season 7 Stats'!$A$2:$C$508,2,FALSE))</f>
        <v>0</v>
      </c>
      <c r="D74">
        <f>SUM(VLOOKUP(B74,'Season 1 Stats'!$A$2:$C$500,3,FALSE),VLOOKUP(B74,'Season 2 Stats'!$A$2:$C$500,3,FALSE),VLOOKUP(B74,'Season 3 Stats'!$A$2:$C$500,3,FALSE),VLOOKUP(B74,'Season 4 Stats'!$A$2:$C$500,3,FALSE),VLOOKUP(B74,'Season 5 Stats'!$A$2:$C$500,3,FALSE),VLOOKUP(B74,'Season 6 Stats'!$A$2:$C$505,3,FALSE),VLOOKUP(B74,'Season 7 Stats'!$A$2:$C$508,3,FALSE))</f>
        <v>22</v>
      </c>
      <c r="E74" s="79">
        <f t="shared" si="2"/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482C-A6AA-2944-9FF5-A6993C448319}">
  <dimension ref="A1:N52"/>
  <sheetViews>
    <sheetView workbookViewId="0">
      <selection activeCell="D8" sqref="D8"/>
    </sheetView>
  </sheetViews>
  <sheetFormatPr defaultColWidth="11" defaultRowHeight="15.75"/>
  <cols>
    <col min="1" max="1" width="16.8125" bestFit="1" customWidth="1"/>
    <col min="6" max="6" width="16" bestFit="1" customWidth="1"/>
    <col min="7" max="8" width="13.1875" bestFit="1" customWidth="1"/>
    <col min="11" max="11" width="11.8125" bestFit="1" customWidth="1"/>
    <col min="12" max="12" width="11.3125" bestFit="1" customWidth="1"/>
  </cols>
  <sheetData>
    <row r="1" spans="1:14">
      <c r="A1" s="17" t="s">
        <v>511</v>
      </c>
      <c r="D1" t="s">
        <v>406</v>
      </c>
      <c r="F1" t="s">
        <v>529</v>
      </c>
      <c r="I1" t="s">
        <v>507</v>
      </c>
      <c r="N1" t="s">
        <v>536</v>
      </c>
    </row>
    <row r="2" spans="1:14">
      <c r="B2" s="106" t="s">
        <v>7</v>
      </c>
      <c r="F2" s="112"/>
      <c r="G2" t="s">
        <v>44</v>
      </c>
      <c r="L2" t="s">
        <v>528</v>
      </c>
    </row>
    <row r="3" spans="1:14">
      <c r="A3" s="17" t="s">
        <v>518</v>
      </c>
      <c r="B3" s="108"/>
      <c r="F3" s="17" t="s">
        <v>524</v>
      </c>
      <c r="G3" s="108"/>
      <c r="L3" s="112"/>
    </row>
    <row r="4" spans="1:14">
      <c r="B4" s="109"/>
      <c r="C4" s="111" t="s">
        <v>508</v>
      </c>
      <c r="G4" s="109"/>
      <c r="H4" s="111" t="s">
        <v>39</v>
      </c>
      <c r="L4" s="109"/>
      <c r="M4" s="111" t="s">
        <v>43</v>
      </c>
    </row>
    <row r="5" spans="1:14">
      <c r="A5" s="17" t="s">
        <v>512</v>
      </c>
      <c r="B5" s="109"/>
      <c r="D5" s="106"/>
      <c r="F5" s="17" t="s">
        <v>520</v>
      </c>
      <c r="G5" s="109"/>
      <c r="I5" s="106"/>
      <c r="K5" s="17" t="s">
        <v>539</v>
      </c>
      <c r="L5" s="109"/>
      <c r="N5" s="106"/>
    </row>
    <row r="6" spans="1:14">
      <c r="B6" s="110" t="s">
        <v>508</v>
      </c>
      <c r="D6" s="106"/>
      <c r="G6" s="110" t="s">
        <v>39</v>
      </c>
      <c r="I6" s="106"/>
      <c r="L6" s="110" t="s">
        <v>43</v>
      </c>
      <c r="N6" s="106"/>
    </row>
    <row r="7" spans="1:14">
      <c r="A7" s="17" t="s">
        <v>513</v>
      </c>
      <c r="B7" s="107"/>
      <c r="D7" s="106"/>
      <c r="F7" s="17" t="s">
        <v>534</v>
      </c>
      <c r="G7" s="107"/>
      <c r="I7" s="106"/>
      <c r="K7" s="17" t="s">
        <v>538</v>
      </c>
      <c r="L7" s="107"/>
      <c r="N7" s="106"/>
    </row>
    <row r="8" spans="1:14">
      <c r="D8" s="106" t="s">
        <v>508</v>
      </c>
      <c r="I8" s="106" t="s">
        <v>39</v>
      </c>
      <c r="K8" s="114"/>
      <c r="N8" s="106" t="s">
        <v>11</v>
      </c>
    </row>
    <row r="9" spans="1:14">
      <c r="A9" s="17" t="s">
        <v>514</v>
      </c>
      <c r="D9" s="107"/>
      <c r="F9" s="17" t="s">
        <v>521</v>
      </c>
      <c r="I9" s="107"/>
      <c r="K9" s="17" t="s">
        <v>519</v>
      </c>
      <c r="N9" s="107"/>
    </row>
    <row r="10" spans="1:14">
      <c r="B10" s="106" t="s">
        <v>54</v>
      </c>
      <c r="D10" s="106"/>
      <c r="G10" s="106" t="s">
        <v>65</v>
      </c>
      <c r="I10" s="106"/>
      <c r="L10" s="106" t="s">
        <v>11</v>
      </c>
      <c r="N10" s="106"/>
    </row>
    <row r="11" spans="1:14">
      <c r="A11" s="17" t="s">
        <v>515</v>
      </c>
      <c r="B11" s="108"/>
      <c r="D11" s="106"/>
      <c r="F11" s="17" t="s">
        <v>522</v>
      </c>
      <c r="G11" s="108"/>
      <c r="I11" s="106"/>
      <c r="K11" s="17" t="s">
        <v>525</v>
      </c>
      <c r="L11" s="108"/>
      <c r="N11" s="106"/>
    </row>
    <row r="12" spans="1:14">
      <c r="B12" s="109"/>
      <c r="C12" s="111" t="s">
        <v>53</v>
      </c>
      <c r="D12" s="106"/>
      <c r="G12" s="109"/>
      <c r="H12" s="111" t="s">
        <v>60</v>
      </c>
      <c r="I12" s="106"/>
      <c r="L12" s="109"/>
      <c r="M12" s="111" t="s">
        <v>11</v>
      </c>
      <c r="N12" s="106"/>
    </row>
    <row r="13" spans="1:14">
      <c r="A13" s="17" t="s">
        <v>516</v>
      </c>
      <c r="B13" s="109"/>
      <c r="F13" s="17" t="s">
        <v>526</v>
      </c>
      <c r="G13" s="109"/>
      <c r="L13" s="109"/>
    </row>
    <row r="14" spans="1:14">
      <c r="B14" s="110" t="s">
        <v>53</v>
      </c>
      <c r="G14" s="110" t="s">
        <v>60</v>
      </c>
      <c r="L14" s="113" t="s">
        <v>527</v>
      </c>
    </row>
    <row r="15" spans="1:14">
      <c r="A15" s="17" t="s">
        <v>517</v>
      </c>
      <c r="B15" s="107"/>
      <c r="F15" s="17" t="s">
        <v>523</v>
      </c>
      <c r="G15" s="107"/>
      <c r="L15" s="114"/>
    </row>
    <row r="18" spans="1:14">
      <c r="A18" t="s">
        <v>509</v>
      </c>
    </row>
    <row r="20" spans="1:14">
      <c r="A20" s="17" t="s">
        <v>511</v>
      </c>
      <c r="D20" t="s">
        <v>406</v>
      </c>
      <c r="F20" t="s">
        <v>529</v>
      </c>
      <c r="I20" t="s">
        <v>507</v>
      </c>
      <c r="N20" t="s">
        <v>536</v>
      </c>
    </row>
    <row r="21" spans="1:14">
      <c r="B21" s="106" t="s">
        <v>61</v>
      </c>
      <c r="F21" s="112"/>
      <c r="G21" t="s">
        <v>446</v>
      </c>
      <c r="L21" t="s">
        <v>528</v>
      </c>
    </row>
    <row r="22" spans="1:14">
      <c r="A22" s="17" t="s">
        <v>518</v>
      </c>
      <c r="B22" s="108"/>
      <c r="F22" s="17" t="s">
        <v>524</v>
      </c>
      <c r="G22" s="108"/>
      <c r="L22" s="112"/>
    </row>
    <row r="23" spans="1:14">
      <c r="B23" s="109"/>
      <c r="C23" s="111" t="s">
        <v>61</v>
      </c>
      <c r="G23" s="109"/>
      <c r="H23" s="111" t="s">
        <v>446</v>
      </c>
      <c r="L23" s="109"/>
      <c r="M23" s="111" t="s">
        <v>43</v>
      </c>
    </row>
    <row r="24" spans="1:14">
      <c r="A24" s="17" t="s">
        <v>512</v>
      </c>
      <c r="B24" s="109"/>
      <c r="D24" s="106"/>
      <c r="F24" s="17" t="s">
        <v>520</v>
      </c>
      <c r="G24" s="109"/>
      <c r="I24" s="106"/>
      <c r="K24" s="17" t="s">
        <v>539</v>
      </c>
      <c r="L24" s="109"/>
      <c r="N24" s="106"/>
    </row>
    <row r="25" spans="1:14">
      <c r="B25" s="110" t="s">
        <v>540</v>
      </c>
      <c r="D25" s="106"/>
      <c r="G25" s="110" t="s">
        <v>46</v>
      </c>
      <c r="I25" s="106"/>
      <c r="L25" s="110" t="s">
        <v>43</v>
      </c>
      <c r="N25" s="106"/>
    </row>
    <row r="26" spans="1:14">
      <c r="A26" s="17" t="s">
        <v>513</v>
      </c>
      <c r="B26" s="107"/>
      <c r="D26" s="106"/>
      <c r="F26" s="17" t="s">
        <v>534</v>
      </c>
      <c r="G26" s="107"/>
      <c r="I26" s="106"/>
      <c r="K26" s="17" t="s">
        <v>538</v>
      </c>
      <c r="L26" s="107"/>
      <c r="N26" s="106"/>
    </row>
    <row r="27" spans="1:14">
      <c r="D27" s="106" t="s">
        <v>61</v>
      </c>
      <c r="I27" s="106" t="s">
        <v>446</v>
      </c>
      <c r="K27" s="114"/>
      <c r="N27" s="106" t="s">
        <v>78</v>
      </c>
    </row>
    <row r="28" spans="1:14">
      <c r="A28" s="17" t="s">
        <v>514</v>
      </c>
      <c r="D28" s="107"/>
      <c r="F28" s="17" t="s">
        <v>521</v>
      </c>
      <c r="I28" s="107"/>
      <c r="K28" s="17" t="s">
        <v>519</v>
      </c>
      <c r="N28" s="107"/>
    </row>
    <row r="29" spans="1:14">
      <c r="B29" s="106" t="s">
        <v>1</v>
      </c>
      <c r="D29" s="106"/>
      <c r="G29" s="106" t="s">
        <v>65</v>
      </c>
      <c r="I29" s="106"/>
      <c r="L29" s="106" t="s">
        <v>11</v>
      </c>
      <c r="N29" s="106"/>
    </row>
    <row r="30" spans="1:14">
      <c r="A30" s="17" t="s">
        <v>515</v>
      </c>
      <c r="B30" s="108"/>
      <c r="D30" s="106"/>
      <c r="F30" s="17" t="s">
        <v>522</v>
      </c>
      <c r="G30" s="108"/>
      <c r="I30" s="106"/>
      <c r="K30" s="17" t="s">
        <v>525</v>
      </c>
      <c r="L30" s="108"/>
      <c r="N30" s="106"/>
    </row>
    <row r="31" spans="1:14">
      <c r="B31" s="109"/>
      <c r="C31" s="111" t="s">
        <v>53</v>
      </c>
      <c r="D31" s="106"/>
      <c r="G31" s="109"/>
      <c r="H31" s="111" t="s">
        <v>60</v>
      </c>
      <c r="I31" s="106"/>
      <c r="L31" s="109"/>
      <c r="M31" s="111" t="s">
        <v>78</v>
      </c>
      <c r="N31" s="106"/>
    </row>
    <row r="32" spans="1:14">
      <c r="A32" s="17" t="s">
        <v>516</v>
      </c>
      <c r="B32" s="109"/>
      <c r="F32" s="17" t="s">
        <v>526</v>
      </c>
      <c r="G32" s="109"/>
      <c r="L32" s="109"/>
    </row>
    <row r="33" spans="1:14">
      <c r="B33" s="110" t="s">
        <v>53</v>
      </c>
      <c r="G33" s="110" t="s">
        <v>60</v>
      </c>
      <c r="L33" s="113" t="s">
        <v>527</v>
      </c>
    </row>
    <row r="34" spans="1:14">
      <c r="A34" s="17" t="s">
        <v>517</v>
      </c>
      <c r="B34" s="107"/>
      <c r="F34" s="17" t="s">
        <v>523</v>
      </c>
      <c r="G34" s="107"/>
      <c r="L34" s="114"/>
    </row>
    <row r="36" spans="1:14">
      <c r="A36" t="s">
        <v>510</v>
      </c>
    </row>
    <row r="38" spans="1:14">
      <c r="A38" s="17" t="s">
        <v>511</v>
      </c>
      <c r="D38" t="s">
        <v>406</v>
      </c>
      <c r="F38" t="s">
        <v>529</v>
      </c>
      <c r="I38" t="s">
        <v>507</v>
      </c>
      <c r="N38" t="s">
        <v>536</v>
      </c>
    </row>
    <row r="39" spans="1:14">
      <c r="B39" s="106" t="s">
        <v>61</v>
      </c>
      <c r="F39" s="112"/>
      <c r="G39" t="s">
        <v>446</v>
      </c>
      <c r="L39" t="s">
        <v>528</v>
      </c>
    </row>
    <row r="40" spans="1:14">
      <c r="A40" s="17" t="s">
        <v>518</v>
      </c>
      <c r="B40" s="108"/>
      <c r="F40" s="17" t="s">
        <v>524</v>
      </c>
      <c r="G40" s="108"/>
      <c r="L40" s="112"/>
    </row>
    <row r="41" spans="1:14">
      <c r="B41" s="109"/>
      <c r="C41" s="111" t="s">
        <v>61</v>
      </c>
      <c r="G41" s="109"/>
      <c r="H41" s="111" t="s">
        <v>46</v>
      </c>
      <c r="L41" s="109"/>
      <c r="M41" s="111" t="s">
        <v>59</v>
      </c>
    </row>
    <row r="42" spans="1:14">
      <c r="A42" s="17" t="s">
        <v>512</v>
      </c>
      <c r="B42" s="109"/>
      <c r="D42" s="106"/>
      <c r="F42" s="17" t="s">
        <v>520</v>
      </c>
      <c r="G42" s="109"/>
      <c r="I42" s="106"/>
      <c r="K42" s="17" t="s">
        <v>539</v>
      </c>
      <c r="L42" s="109"/>
      <c r="N42" s="106"/>
    </row>
    <row r="43" spans="1:14">
      <c r="B43" s="110" t="s">
        <v>508</v>
      </c>
      <c r="D43" s="106"/>
      <c r="G43" s="110" t="s">
        <v>46</v>
      </c>
      <c r="I43" s="106"/>
      <c r="L43" s="110" t="s">
        <v>43</v>
      </c>
      <c r="N43" s="106"/>
    </row>
    <row r="44" spans="1:14">
      <c r="A44" s="17" t="s">
        <v>513</v>
      </c>
      <c r="B44" s="107"/>
      <c r="D44" s="106"/>
      <c r="F44" s="17" t="s">
        <v>534</v>
      </c>
      <c r="G44" s="107"/>
      <c r="I44" s="106"/>
      <c r="K44" s="17" t="s">
        <v>538</v>
      </c>
      <c r="L44" s="107"/>
      <c r="N44" s="106"/>
    </row>
    <row r="45" spans="1:14">
      <c r="D45" s="106" t="s">
        <v>53</v>
      </c>
      <c r="I45" s="106" t="s">
        <v>46</v>
      </c>
      <c r="K45" s="114"/>
      <c r="N45" s="106" t="s">
        <v>11</v>
      </c>
    </row>
    <row r="46" spans="1:14">
      <c r="A46" s="17" t="s">
        <v>514</v>
      </c>
      <c r="D46" s="107"/>
      <c r="F46" s="17" t="s">
        <v>521</v>
      </c>
      <c r="I46" s="107"/>
      <c r="K46" s="17" t="s">
        <v>519</v>
      </c>
      <c r="N46" s="107"/>
    </row>
    <row r="47" spans="1:14">
      <c r="B47" s="106" t="s">
        <v>1</v>
      </c>
      <c r="D47" s="106"/>
      <c r="G47" s="106" t="s">
        <v>65</v>
      </c>
      <c r="I47" s="106"/>
      <c r="L47" s="106" t="s">
        <v>11</v>
      </c>
      <c r="N47" s="106"/>
    </row>
    <row r="48" spans="1:14">
      <c r="A48" s="17" t="s">
        <v>515</v>
      </c>
      <c r="B48" s="108"/>
      <c r="D48" s="106"/>
      <c r="F48" s="17" t="s">
        <v>522</v>
      </c>
      <c r="G48" s="108"/>
      <c r="I48" s="106"/>
      <c r="K48" s="17" t="s">
        <v>525</v>
      </c>
      <c r="L48" s="108"/>
      <c r="N48" s="106"/>
    </row>
    <row r="49" spans="1:14">
      <c r="B49" s="109"/>
      <c r="C49" s="111" t="s">
        <v>53</v>
      </c>
      <c r="D49" s="106"/>
      <c r="G49" s="109"/>
      <c r="H49" s="111" t="s">
        <v>60</v>
      </c>
      <c r="I49" s="106"/>
      <c r="L49" s="109"/>
      <c r="M49" s="111" t="s">
        <v>11</v>
      </c>
      <c r="N49" s="106"/>
    </row>
    <row r="50" spans="1:14">
      <c r="A50" s="17" t="s">
        <v>516</v>
      </c>
      <c r="B50" s="109"/>
      <c r="F50" s="17" t="s">
        <v>526</v>
      </c>
      <c r="G50" s="109"/>
      <c r="L50" s="109"/>
    </row>
    <row r="51" spans="1:14">
      <c r="B51" s="110" t="s">
        <v>53</v>
      </c>
      <c r="G51" s="110" t="s">
        <v>60</v>
      </c>
      <c r="L51" s="113" t="s">
        <v>527</v>
      </c>
    </row>
    <row r="52" spans="1:14">
      <c r="A52" s="17" t="s">
        <v>517</v>
      </c>
      <c r="B52" s="107"/>
      <c r="F52" s="17" t="s">
        <v>523</v>
      </c>
      <c r="G52" s="107"/>
      <c r="L52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318E-7231-064F-ABAA-8EDF93FBD160}">
  <dimension ref="A1:CT201"/>
  <sheetViews>
    <sheetView topLeftCell="BM15" zoomScale="82" zoomScaleNormal="88" workbookViewId="0">
      <selection activeCell="BX36" sqref="BX36"/>
    </sheetView>
  </sheetViews>
  <sheetFormatPr defaultColWidth="11" defaultRowHeight="15.75"/>
  <cols>
    <col min="1" max="1" width="61.8125" bestFit="1" customWidth="1"/>
    <col min="2" max="2" width="19.5" bestFit="1" customWidth="1"/>
    <col min="3" max="3" width="26.6875" bestFit="1" customWidth="1"/>
    <col min="4" max="4" width="20.8125" bestFit="1" customWidth="1"/>
    <col min="5" max="5" width="14.6875" bestFit="1" customWidth="1"/>
    <col min="6" max="6" width="12" bestFit="1" customWidth="1"/>
    <col min="7" max="7" width="5.6875" bestFit="1" customWidth="1"/>
    <col min="8" max="8" width="7.6875" bestFit="1" customWidth="1"/>
    <col min="9" max="9" width="13.8125" bestFit="1" customWidth="1"/>
    <col min="10" max="10" width="6.6875" bestFit="1" customWidth="1"/>
    <col min="12" max="12" width="44.6875" bestFit="1" customWidth="1"/>
    <col min="13" max="13" width="13.3125" bestFit="1" customWidth="1"/>
    <col min="14" max="14" width="23.5" bestFit="1" customWidth="1"/>
    <col min="15" max="16" width="18.6875" bestFit="1" customWidth="1"/>
    <col min="17" max="17" width="14.3125" bestFit="1" customWidth="1"/>
    <col min="18" max="18" width="6" bestFit="1" customWidth="1"/>
    <col min="19" max="19" width="44.6875" bestFit="1" customWidth="1"/>
    <col min="21" max="21" width="84.8125" bestFit="1" customWidth="1"/>
    <col min="22" max="22" width="16.8125" bestFit="1" customWidth="1"/>
    <col min="23" max="23" width="25.8125" bestFit="1" customWidth="1"/>
    <col min="24" max="24" width="20.8125" bestFit="1" customWidth="1"/>
    <col min="25" max="25" width="17.5" bestFit="1" customWidth="1"/>
    <col min="26" max="26" width="9.3125" bestFit="1" customWidth="1"/>
    <col min="27" max="27" width="7.3125" bestFit="1" customWidth="1"/>
    <col min="28" max="28" width="7.1875" customWidth="1"/>
    <col min="30" max="30" width="34.3125" bestFit="1" customWidth="1"/>
    <col min="31" max="31" width="24.8125" bestFit="1" customWidth="1"/>
    <col min="32" max="32" width="24.5" bestFit="1" customWidth="1"/>
    <col min="33" max="33" width="20.8125" bestFit="1" customWidth="1"/>
    <col min="34" max="34" width="13.8125" bestFit="1" customWidth="1"/>
    <col min="35" max="35" width="10.1875" bestFit="1" customWidth="1"/>
    <col min="36" max="36" width="15" bestFit="1" customWidth="1"/>
    <col min="37" max="37" width="9" bestFit="1" customWidth="1"/>
    <col min="39" max="39" width="21.6875" bestFit="1" customWidth="1"/>
    <col min="40" max="40" width="12.8125" bestFit="1" customWidth="1"/>
    <col min="41" max="41" width="30.5" bestFit="1" customWidth="1"/>
    <col min="42" max="42" width="18.1875" bestFit="1" customWidth="1"/>
    <col min="43" max="43" width="13.3125" customWidth="1"/>
    <col min="44" max="44" width="13" customWidth="1"/>
    <col min="46" max="46" width="29.1875" bestFit="1" customWidth="1"/>
    <col min="47" max="47" width="19.5" bestFit="1" customWidth="1"/>
    <col min="48" max="48" width="27.6875" bestFit="1" customWidth="1"/>
    <col min="49" max="49" width="17.1875" customWidth="1"/>
    <col min="50" max="50" width="11.3125" bestFit="1" customWidth="1"/>
    <col min="51" max="51" width="7.3125" bestFit="1" customWidth="1"/>
    <col min="53" max="53" width="41.5" bestFit="1" customWidth="1"/>
    <col min="54" max="54" width="39.8125" bestFit="1" customWidth="1"/>
    <col min="55" max="55" width="26.6875" bestFit="1" customWidth="1"/>
    <col min="56" max="56" width="18.6875" bestFit="1" customWidth="1"/>
    <col min="57" max="57" width="17.5" bestFit="1" customWidth="1"/>
    <col min="58" max="58" width="18.1875" style="6" bestFit="1" customWidth="1"/>
    <col min="60" max="60" width="27" bestFit="1" customWidth="1"/>
    <col min="61" max="61" width="20.3125" bestFit="1" customWidth="1"/>
    <col min="62" max="62" width="43.6875" bestFit="1" customWidth="1"/>
    <col min="63" max="63" width="36.6875" customWidth="1"/>
    <col min="64" max="64" width="13.8125" bestFit="1" customWidth="1"/>
    <col min="65" max="65" width="14.5" bestFit="1" customWidth="1"/>
    <col min="66" max="66" width="11.3125" bestFit="1" customWidth="1"/>
    <col min="67" max="67" width="6.5" bestFit="1" customWidth="1"/>
    <col min="69" max="69" width="25.5" bestFit="1" customWidth="1"/>
    <col min="70" max="70" width="20.1875" bestFit="1" customWidth="1"/>
    <col min="71" max="71" width="26.6875" bestFit="1" customWidth="1"/>
    <col min="72" max="72" width="17.3125" bestFit="1" customWidth="1"/>
    <col min="73" max="73" width="18.1875" bestFit="1" customWidth="1"/>
    <col min="74" max="74" width="17.8125" customWidth="1"/>
    <col min="76" max="76" width="62.5" bestFit="1" customWidth="1"/>
    <col min="77" max="77" width="18.5" bestFit="1" customWidth="1"/>
    <col min="78" max="78" width="25.1875" bestFit="1" customWidth="1"/>
    <col min="79" max="79" width="17.3125" bestFit="1" customWidth="1"/>
    <col min="80" max="80" width="15.5" customWidth="1"/>
    <col min="81" max="81" width="17.5" bestFit="1" customWidth="1"/>
    <col min="82" max="82" width="15.6875" customWidth="1"/>
    <col min="83" max="83" width="15.5" customWidth="1"/>
    <col min="86" max="86" width="13.1875" bestFit="1" customWidth="1"/>
    <col min="87" max="87" width="28.3125" bestFit="1" customWidth="1"/>
    <col min="88" max="88" width="23" bestFit="1" customWidth="1"/>
    <col min="89" max="89" width="29.8125" bestFit="1" customWidth="1"/>
    <col min="93" max="93" width="13.5" bestFit="1" customWidth="1"/>
    <col min="94" max="94" width="32.8125" bestFit="1" customWidth="1"/>
    <col min="95" max="95" width="30.5" bestFit="1" customWidth="1"/>
    <col min="96" max="96" width="15" bestFit="1" customWidth="1"/>
    <col min="97" max="97" width="14" customWidth="1"/>
    <col min="98" max="98" width="21.1875" customWidth="1"/>
  </cols>
  <sheetData>
    <row r="1" spans="1:98" ht="25.15">
      <c r="A1" s="5" t="s">
        <v>68</v>
      </c>
      <c r="B1" s="84" t="s">
        <v>99</v>
      </c>
      <c r="C1" s="118"/>
      <c r="D1" s="6"/>
      <c r="L1" s="5" t="s">
        <v>97</v>
      </c>
      <c r="M1" s="84" t="s">
        <v>430</v>
      </c>
      <c r="N1" s="117"/>
      <c r="O1" s="6"/>
      <c r="U1" s="5" t="s">
        <v>176</v>
      </c>
      <c r="V1" s="84" t="s">
        <v>431</v>
      </c>
      <c r="W1" s="117"/>
      <c r="X1" s="6"/>
      <c r="AD1" s="5" t="s">
        <v>184</v>
      </c>
      <c r="AE1" s="84" t="s">
        <v>432</v>
      </c>
      <c r="AF1" s="6"/>
      <c r="AG1" s="6"/>
      <c r="AM1" s="5" t="s">
        <v>185</v>
      </c>
      <c r="AN1" s="84" t="s">
        <v>433</v>
      </c>
      <c r="AO1" s="6"/>
      <c r="AP1" s="6"/>
      <c r="AT1" s="5" t="s">
        <v>186</v>
      </c>
      <c r="AU1" s="84" t="s">
        <v>434</v>
      </c>
      <c r="AV1" s="6"/>
      <c r="AW1" s="6"/>
      <c r="BA1" s="5" t="s">
        <v>187</v>
      </c>
      <c r="BB1" s="84" t="s">
        <v>435</v>
      </c>
      <c r="BC1" s="6"/>
      <c r="BD1" s="6"/>
      <c r="BH1" s="5" t="s">
        <v>188</v>
      </c>
      <c r="BI1" s="84" t="s">
        <v>436</v>
      </c>
      <c r="BJ1" s="6" t="s">
        <v>794</v>
      </c>
      <c r="BK1" s="6" t="s">
        <v>792</v>
      </c>
      <c r="BQ1" s="5" t="s">
        <v>190</v>
      </c>
      <c r="BR1" s="84" t="s">
        <v>448</v>
      </c>
      <c r="BS1" s="6"/>
      <c r="BT1" s="6"/>
      <c r="BX1" s="5" t="s">
        <v>191</v>
      </c>
      <c r="BY1" s="84" t="s">
        <v>438</v>
      </c>
      <c r="BZ1" s="6"/>
      <c r="CA1" s="6"/>
      <c r="CH1" s="5" t="s">
        <v>192</v>
      </c>
      <c r="CI1" s="84" t="s">
        <v>439</v>
      </c>
      <c r="CJ1" s="6"/>
      <c r="CK1" s="6"/>
      <c r="CO1" s="31" t="s">
        <v>193</v>
      </c>
      <c r="CP1" s="84" t="s">
        <v>440</v>
      </c>
      <c r="CQ1" s="33"/>
      <c r="CR1" s="33"/>
      <c r="CS1" s="32"/>
      <c r="CT1" s="32"/>
    </row>
    <row r="2" spans="1:98">
      <c r="C2" s="51"/>
      <c r="D2" s="6"/>
      <c r="N2" s="6"/>
      <c r="O2" s="6"/>
      <c r="W2" s="6"/>
      <c r="X2" s="6"/>
      <c r="AF2" s="6"/>
      <c r="AG2" s="6"/>
      <c r="AO2" s="6"/>
      <c r="AP2" s="6"/>
      <c r="AV2" s="6"/>
      <c r="AW2" s="6"/>
      <c r="BC2" s="6"/>
      <c r="BD2" s="6"/>
      <c r="BJ2" s="6"/>
      <c r="BK2" s="6" t="s">
        <v>793</v>
      </c>
      <c r="BS2" s="6"/>
      <c r="BT2" s="6"/>
      <c r="BZ2" s="6"/>
      <c r="CA2" s="6"/>
      <c r="CJ2" s="6"/>
      <c r="CK2" s="6"/>
      <c r="CO2" s="32"/>
      <c r="CP2" s="32"/>
      <c r="CQ2" s="33"/>
      <c r="CR2" s="33"/>
      <c r="CS2" s="32"/>
      <c r="CT2" s="32"/>
    </row>
    <row r="3" spans="1:98" ht="21">
      <c r="A3" s="10"/>
      <c r="B3" s="11" t="s">
        <v>69</v>
      </c>
      <c r="C3" s="27" t="s">
        <v>453</v>
      </c>
      <c r="D3" s="12"/>
      <c r="E3" s="10"/>
      <c r="F3" s="10"/>
      <c r="G3" s="10"/>
      <c r="H3" s="10"/>
      <c r="I3" s="10"/>
      <c r="J3" s="10"/>
      <c r="L3" s="10"/>
      <c r="M3" s="11" t="s">
        <v>69</v>
      </c>
      <c r="N3" s="27" t="s">
        <v>237</v>
      </c>
      <c r="O3" s="12"/>
      <c r="P3" s="10"/>
      <c r="Q3" s="10"/>
      <c r="R3" s="10"/>
      <c r="S3" s="10"/>
      <c r="U3" s="10"/>
      <c r="V3" s="11" t="s">
        <v>69</v>
      </c>
      <c r="W3" s="27" t="s">
        <v>464</v>
      </c>
      <c r="X3" s="12"/>
      <c r="Y3" s="10"/>
      <c r="Z3" s="10"/>
      <c r="AA3" s="10"/>
      <c r="AB3" s="10"/>
      <c r="AD3" s="10"/>
      <c r="AE3" s="11" t="s">
        <v>69</v>
      </c>
      <c r="AF3" s="27" t="s">
        <v>164</v>
      </c>
      <c r="AG3" s="12"/>
      <c r="AH3" s="10"/>
      <c r="AI3" s="10"/>
      <c r="AJ3" s="10"/>
      <c r="AK3" s="10"/>
      <c r="AM3" s="10"/>
      <c r="AN3" s="11" t="s">
        <v>69</v>
      </c>
      <c r="AO3" s="27" t="s">
        <v>230</v>
      </c>
      <c r="AP3" s="12"/>
      <c r="AQ3" s="10"/>
      <c r="AR3" s="10"/>
      <c r="AT3" s="10"/>
      <c r="AU3" s="11" t="s">
        <v>69</v>
      </c>
      <c r="AV3" s="27" t="s">
        <v>469</v>
      </c>
      <c r="AW3" s="12"/>
      <c r="AX3" s="10"/>
      <c r="AY3" s="10"/>
      <c r="BA3" s="10"/>
      <c r="BB3" s="11" t="s">
        <v>69</v>
      </c>
      <c r="BC3" s="27" t="s">
        <v>719</v>
      </c>
      <c r="BD3" s="12"/>
      <c r="BE3" s="10"/>
      <c r="BF3" s="12"/>
      <c r="BH3" s="10"/>
      <c r="BI3" s="11" t="s">
        <v>69</v>
      </c>
      <c r="BJ3" s="27" t="s">
        <v>486</v>
      </c>
      <c r="BK3" s="12"/>
      <c r="BL3" s="10"/>
      <c r="BM3" s="10"/>
      <c r="BN3" s="10"/>
      <c r="BO3" s="10"/>
      <c r="BQ3" s="10"/>
      <c r="BR3" s="11" t="s">
        <v>69</v>
      </c>
      <c r="BS3" s="27" t="s">
        <v>491</v>
      </c>
      <c r="BT3" s="12"/>
      <c r="BU3" s="10"/>
      <c r="BV3" s="10"/>
      <c r="BX3" s="10"/>
      <c r="BY3" s="11" t="s">
        <v>69</v>
      </c>
      <c r="BZ3" s="27" t="s">
        <v>498</v>
      </c>
      <c r="CA3" s="12"/>
      <c r="CB3" s="10"/>
      <c r="CC3" s="10"/>
      <c r="CD3" s="10"/>
      <c r="CE3" s="10"/>
      <c r="CF3" s="10"/>
      <c r="CH3" s="10"/>
      <c r="CI3" s="11" t="s">
        <v>69</v>
      </c>
      <c r="CJ3" s="27" t="s">
        <v>506</v>
      </c>
      <c r="CK3" s="12"/>
      <c r="CL3" s="10"/>
      <c r="CM3" s="10"/>
      <c r="CO3" s="34"/>
      <c r="CP3" s="35" t="s">
        <v>69</v>
      </c>
      <c r="CQ3" s="36" t="s">
        <v>177</v>
      </c>
      <c r="CR3" s="37"/>
      <c r="CS3" s="34"/>
      <c r="CT3" s="34"/>
    </row>
    <row r="4" spans="1:98">
      <c r="A4" s="10" t="s">
        <v>108</v>
      </c>
      <c r="B4" s="10">
        <v>1</v>
      </c>
      <c r="C4" s="12" t="s">
        <v>76</v>
      </c>
      <c r="D4" s="12" t="s">
        <v>558</v>
      </c>
      <c r="E4" s="12"/>
      <c r="F4" s="10"/>
      <c r="G4" s="10"/>
      <c r="H4" s="10"/>
      <c r="I4" s="10"/>
      <c r="J4" s="10"/>
      <c r="L4" s="10"/>
      <c r="M4" s="10">
        <v>1</v>
      </c>
      <c r="N4" s="12" t="s">
        <v>142</v>
      </c>
      <c r="O4" s="12" t="s">
        <v>23</v>
      </c>
      <c r="P4" s="12"/>
      <c r="Q4" s="10"/>
      <c r="R4" s="10"/>
      <c r="S4" s="10"/>
      <c r="U4" s="10"/>
      <c r="V4" s="10">
        <v>1</v>
      </c>
      <c r="W4" s="12" t="s">
        <v>57</v>
      </c>
      <c r="X4" s="12" t="s">
        <v>195</v>
      </c>
      <c r="Y4" s="12"/>
      <c r="Z4" s="12"/>
      <c r="AA4" s="12"/>
      <c r="AB4" s="10"/>
      <c r="AD4" s="10" t="s">
        <v>220</v>
      </c>
      <c r="AE4" s="10">
        <v>1</v>
      </c>
      <c r="AF4" s="12" t="s">
        <v>14</v>
      </c>
      <c r="AG4" s="12" t="s">
        <v>122</v>
      </c>
      <c r="AH4" s="12"/>
      <c r="AI4" s="10"/>
      <c r="AJ4" s="10"/>
      <c r="AK4" s="10"/>
      <c r="AM4" s="10"/>
      <c r="AN4" s="10">
        <v>1</v>
      </c>
      <c r="AO4" s="12" t="s">
        <v>23</v>
      </c>
      <c r="AP4" s="12" t="s">
        <v>117</v>
      </c>
      <c r="AQ4" s="12"/>
      <c r="AR4" s="10"/>
      <c r="AT4" s="10"/>
      <c r="AU4" s="10">
        <v>1</v>
      </c>
      <c r="AV4" s="12" t="s">
        <v>112</v>
      </c>
      <c r="AW4" s="12" t="s">
        <v>20</v>
      </c>
      <c r="AX4" s="12"/>
      <c r="AY4" s="10"/>
      <c r="BA4" s="10"/>
      <c r="BB4" s="10">
        <v>1</v>
      </c>
      <c r="BC4" s="12" t="s">
        <v>263</v>
      </c>
      <c r="BD4" s="12" t="s">
        <v>57</v>
      </c>
      <c r="BE4" s="12"/>
      <c r="BF4" s="12"/>
      <c r="BH4" s="10"/>
      <c r="BI4" s="10">
        <v>1</v>
      </c>
      <c r="BJ4" s="12" t="s">
        <v>124</v>
      </c>
      <c r="BK4" s="12" t="s">
        <v>13</v>
      </c>
      <c r="BL4" s="12"/>
      <c r="BM4" s="12"/>
      <c r="BN4" s="12"/>
      <c r="BO4" s="10"/>
      <c r="BQ4" s="10"/>
      <c r="BR4" s="10">
        <v>1</v>
      </c>
      <c r="BS4" s="12" t="s">
        <v>19</v>
      </c>
      <c r="BT4" s="12" t="s">
        <v>596</v>
      </c>
      <c r="BU4" s="12"/>
      <c r="BV4" s="10"/>
      <c r="BX4" s="10"/>
      <c r="BY4" s="10">
        <v>1</v>
      </c>
      <c r="BZ4" s="12" t="s">
        <v>568</v>
      </c>
      <c r="CA4" s="12" t="s">
        <v>51</v>
      </c>
      <c r="CB4" s="12"/>
      <c r="CC4" s="10"/>
      <c r="CD4" s="10"/>
      <c r="CE4" s="10"/>
      <c r="CF4" s="10"/>
      <c r="CH4" s="10"/>
      <c r="CI4" s="10">
        <v>1</v>
      </c>
      <c r="CJ4" s="12"/>
      <c r="CK4" s="12"/>
      <c r="CL4" s="12"/>
      <c r="CM4" s="10"/>
      <c r="CO4" s="34"/>
      <c r="CP4" s="34">
        <v>1</v>
      </c>
      <c r="CQ4" s="37"/>
      <c r="CR4" s="37"/>
      <c r="CS4" s="37"/>
      <c r="CT4" s="34"/>
    </row>
    <row r="5" spans="1:98">
      <c r="A5" s="10"/>
      <c r="B5" s="10"/>
      <c r="C5" s="12">
        <v>0</v>
      </c>
      <c r="D5" s="12">
        <v>2</v>
      </c>
      <c r="E5" s="12"/>
      <c r="F5" s="10"/>
      <c r="G5" s="10"/>
      <c r="H5" s="10"/>
      <c r="I5" s="10"/>
      <c r="J5" s="10"/>
      <c r="L5" s="10"/>
      <c r="M5" s="10"/>
      <c r="N5" s="12">
        <v>2</v>
      </c>
      <c r="O5" s="12">
        <v>0</v>
      </c>
      <c r="P5" s="12"/>
      <c r="Q5" s="10"/>
      <c r="R5" s="10"/>
      <c r="S5" s="10"/>
      <c r="U5" s="10"/>
      <c r="V5" s="10"/>
      <c r="W5" s="12">
        <v>0</v>
      </c>
      <c r="X5" s="12">
        <v>2</v>
      </c>
      <c r="Y5" s="12"/>
      <c r="Z5" s="12"/>
      <c r="AA5" s="12"/>
      <c r="AB5" s="10"/>
      <c r="AD5" s="10"/>
      <c r="AE5" s="10"/>
      <c r="AF5" s="12">
        <v>0</v>
      </c>
      <c r="AG5" s="12">
        <v>2</v>
      </c>
      <c r="AH5" s="12"/>
      <c r="AI5" s="10"/>
      <c r="AJ5" s="10"/>
      <c r="AK5" s="10"/>
      <c r="AM5" s="10"/>
      <c r="AN5" s="10"/>
      <c r="AO5" s="12">
        <v>0</v>
      </c>
      <c r="AP5" s="12">
        <v>3</v>
      </c>
      <c r="AQ5" s="12"/>
      <c r="AR5" s="10"/>
      <c r="AT5" s="10"/>
      <c r="AU5" s="10"/>
      <c r="AV5" s="12">
        <v>2</v>
      </c>
      <c r="AW5" s="12">
        <v>0</v>
      </c>
      <c r="AX5" s="12"/>
      <c r="AY5" s="10"/>
      <c r="BA5" s="10"/>
      <c r="BB5" s="10"/>
      <c r="BC5" s="12">
        <v>1</v>
      </c>
      <c r="BD5" s="12">
        <v>0</v>
      </c>
      <c r="BE5" s="12"/>
      <c r="BF5" s="12"/>
      <c r="BH5" s="10"/>
      <c r="BI5" s="10"/>
      <c r="BJ5" s="12">
        <v>2</v>
      </c>
      <c r="BK5" s="12">
        <v>0</v>
      </c>
      <c r="BL5" s="12"/>
      <c r="BM5" s="12"/>
      <c r="BN5" s="12"/>
      <c r="BO5" s="10"/>
      <c r="BQ5" s="10"/>
      <c r="BR5" s="10"/>
      <c r="BS5" s="12">
        <v>0</v>
      </c>
      <c r="BT5" s="12">
        <v>1</v>
      </c>
      <c r="BU5" s="12"/>
      <c r="BV5" s="10"/>
      <c r="BX5" s="10"/>
      <c r="BY5" s="10"/>
      <c r="BZ5" s="12">
        <v>2</v>
      </c>
      <c r="CA5" s="12">
        <v>0</v>
      </c>
      <c r="CB5" s="12"/>
      <c r="CC5" s="10"/>
      <c r="CD5" s="10"/>
      <c r="CE5" s="10"/>
      <c r="CF5" s="10"/>
      <c r="CH5" s="10"/>
      <c r="CI5" s="10"/>
      <c r="CJ5" s="12"/>
      <c r="CK5" s="12"/>
      <c r="CL5" s="12"/>
      <c r="CM5" s="10"/>
      <c r="CO5" s="34"/>
      <c r="CP5" s="34"/>
      <c r="CQ5" s="37"/>
      <c r="CR5" s="37"/>
      <c r="CS5" s="37"/>
      <c r="CT5" s="34"/>
    </row>
    <row r="6" spans="1:98">
      <c r="A6" s="10"/>
      <c r="B6" s="10">
        <v>2</v>
      </c>
      <c r="C6" s="12" t="s">
        <v>445</v>
      </c>
      <c r="D6" s="12" t="s">
        <v>156</v>
      </c>
      <c r="E6" s="12"/>
      <c r="F6" s="10"/>
      <c r="G6" s="10"/>
      <c r="H6" s="10"/>
      <c r="I6" s="10"/>
      <c r="J6" s="10"/>
      <c r="L6" s="10"/>
      <c r="M6" s="10">
        <v>2</v>
      </c>
      <c r="N6" s="12" t="s">
        <v>22</v>
      </c>
      <c r="O6" s="12" t="s">
        <v>659</v>
      </c>
      <c r="P6" s="12"/>
      <c r="Q6" s="10"/>
      <c r="R6" s="10"/>
      <c r="S6" s="10"/>
      <c r="U6" s="10"/>
      <c r="V6" s="10">
        <v>2</v>
      </c>
      <c r="W6" s="12" t="s">
        <v>4</v>
      </c>
      <c r="X6" s="12" t="s">
        <v>70</v>
      </c>
      <c r="Y6" s="12"/>
      <c r="Z6" s="12"/>
      <c r="AA6" s="12"/>
      <c r="AB6" s="10"/>
      <c r="AD6" s="10"/>
      <c r="AE6" s="10">
        <v>2</v>
      </c>
      <c r="AF6" s="12" t="s">
        <v>544</v>
      </c>
      <c r="AG6" s="12" t="s">
        <v>48</v>
      </c>
      <c r="AH6" s="12"/>
      <c r="AI6" s="10"/>
      <c r="AJ6" s="10"/>
      <c r="AK6" s="10"/>
      <c r="AM6" s="10"/>
      <c r="AN6" s="10">
        <v>2</v>
      </c>
      <c r="AO6" s="12" t="s">
        <v>596</v>
      </c>
      <c r="AP6" s="12" t="s">
        <v>40</v>
      </c>
      <c r="AQ6" s="12"/>
      <c r="AR6" s="10"/>
      <c r="AT6" s="10"/>
      <c r="AU6" s="10">
        <v>2</v>
      </c>
      <c r="AV6" s="12" t="s">
        <v>150</v>
      </c>
      <c r="AW6" s="12" t="s">
        <v>57</v>
      </c>
      <c r="AX6" s="12"/>
      <c r="AY6" s="10"/>
      <c r="BA6" s="10"/>
      <c r="BB6" s="10">
        <v>2</v>
      </c>
      <c r="BC6" s="12" t="s">
        <v>13</v>
      </c>
      <c r="BD6" s="12" t="s">
        <v>156</v>
      </c>
      <c r="BE6" s="12"/>
      <c r="BF6" s="12"/>
      <c r="BH6" s="10"/>
      <c r="BI6" s="10">
        <v>2</v>
      </c>
      <c r="BJ6" s="12" t="s">
        <v>533</v>
      </c>
      <c r="BK6" s="12" t="s">
        <v>573</v>
      </c>
      <c r="BL6" s="12"/>
      <c r="BM6" s="12"/>
      <c r="BN6" s="12"/>
      <c r="BO6" s="10"/>
      <c r="BQ6" s="10"/>
      <c r="BR6" s="10">
        <v>2</v>
      </c>
      <c r="BS6" s="12" t="s">
        <v>263</v>
      </c>
      <c r="BT6" s="12" t="s">
        <v>76</v>
      </c>
      <c r="BU6" s="12"/>
      <c r="BV6" s="10"/>
      <c r="BX6" s="10"/>
      <c r="BY6" s="10">
        <v>2</v>
      </c>
      <c r="BZ6" s="12" t="s">
        <v>263</v>
      </c>
      <c r="CA6" s="12" t="s">
        <v>533</v>
      </c>
      <c r="CB6" s="12"/>
      <c r="CC6" s="10"/>
      <c r="CD6" s="10"/>
      <c r="CE6" s="10"/>
      <c r="CF6" s="10"/>
      <c r="CH6" s="10"/>
      <c r="CI6" s="10">
        <v>2</v>
      </c>
      <c r="CJ6" s="12"/>
      <c r="CK6" s="12"/>
      <c r="CL6" s="12"/>
      <c r="CM6" s="10"/>
      <c r="CO6" s="34"/>
      <c r="CP6" s="34">
        <v>2</v>
      </c>
      <c r="CQ6" s="37"/>
      <c r="CR6" s="37"/>
      <c r="CS6" s="37"/>
      <c r="CT6" s="34"/>
    </row>
    <row r="7" spans="1:98">
      <c r="A7" s="10"/>
      <c r="B7" s="10"/>
      <c r="C7" s="12">
        <v>0</v>
      </c>
      <c r="D7" s="12">
        <v>3</v>
      </c>
      <c r="E7" s="12"/>
      <c r="F7" s="10"/>
      <c r="G7" s="10"/>
      <c r="H7" s="10"/>
      <c r="I7" s="10"/>
      <c r="J7" s="10"/>
      <c r="L7" s="10"/>
      <c r="M7" s="10"/>
      <c r="N7" s="12">
        <v>0</v>
      </c>
      <c r="O7" s="12">
        <v>2</v>
      </c>
      <c r="P7" s="12"/>
      <c r="Q7" s="10"/>
      <c r="R7" s="10"/>
      <c r="S7" s="10"/>
      <c r="U7" s="10"/>
      <c r="V7" s="10"/>
      <c r="W7" s="12">
        <v>0</v>
      </c>
      <c r="X7" s="12">
        <v>2</v>
      </c>
      <c r="Y7" s="12"/>
      <c r="Z7" s="12"/>
      <c r="AA7" s="12"/>
      <c r="AB7" s="10"/>
      <c r="AD7" s="10"/>
      <c r="AE7" s="10"/>
      <c r="AF7" s="12">
        <v>1</v>
      </c>
      <c r="AG7" s="12">
        <v>0</v>
      </c>
      <c r="AH7" s="12"/>
      <c r="AI7" s="10"/>
      <c r="AJ7" s="10"/>
      <c r="AK7" s="10"/>
      <c r="AM7" s="10"/>
      <c r="AN7" s="10"/>
      <c r="AO7" s="12">
        <v>1</v>
      </c>
      <c r="AP7" s="12">
        <v>0</v>
      </c>
      <c r="AQ7" s="12"/>
      <c r="AR7" s="10"/>
      <c r="AT7" s="10"/>
      <c r="AU7" s="10"/>
      <c r="AV7" s="12">
        <v>2</v>
      </c>
      <c r="AW7" s="12">
        <v>0</v>
      </c>
      <c r="AX7" s="12"/>
      <c r="AY7" s="10"/>
      <c r="BA7" s="10"/>
      <c r="BB7" s="10"/>
      <c r="BC7" s="12">
        <v>0</v>
      </c>
      <c r="BD7" s="12">
        <v>1</v>
      </c>
      <c r="BE7" s="12"/>
      <c r="BF7" s="12"/>
      <c r="BH7" s="10"/>
      <c r="BI7" s="10"/>
      <c r="BJ7" s="12">
        <v>0</v>
      </c>
      <c r="BK7" s="12">
        <v>1</v>
      </c>
      <c r="BL7" s="12"/>
      <c r="BM7" s="12"/>
      <c r="BN7" s="12"/>
      <c r="BO7" s="10"/>
      <c r="BQ7" s="10"/>
      <c r="BR7" s="10"/>
      <c r="BS7" s="12">
        <v>1</v>
      </c>
      <c r="BT7" s="12">
        <v>0</v>
      </c>
      <c r="BU7" s="12"/>
      <c r="BV7" s="10"/>
      <c r="BX7" s="10"/>
      <c r="BY7" s="10"/>
      <c r="BZ7" s="12">
        <v>2</v>
      </c>
      <c r="CA7" s="12">
        <v>0</v>
      </c>
      <c r="CB7" s="12"/>
      <c r="CC7" s="10"/>
      <c r="CD7" s="10"/>
      <c r="CE7" s="10"/>
      <c r="CF7" s="10"/>
      <c r="CH7" s="10"/>
      <c r="CI7" s="10"/>
      <c r="CJ7" s="12"/>
      <c r="CK7" s="12"/>
      <c r="CL7" s="12"/>
      <c r="CM7" s="10"/>
      <c r="CO7" s="34"/>
      <c r="CP7" s="34"/>
      <c r="CQ7" s="37"/>
      <c r="CR7" s="37"/>
      <c r="CS7" s="37"/>
      <c r="CT7" s="34"/>
    </row>
    <row r="8" spans="1:98">
      <c r="A8" s="10"/>
      <c r="B8" s="10">
        <v>3</v>
      </c>
      <c r="C8" s="12" t="s">
        <v>195</v>
      </c>
      <c r="D8" s="12" t="s">
        <v>22</v>
      </c>
      <c r="E8" s="10"/>
      <c r="F8" s="10"/>
      <c r="G8" s="10"/>
      <c r="H8" s="10"/>
      <c r="I8" s="10"/>
      <c r="J8" s="10"/>
      <c r="L8" s="10"/>
      <c r="M8" s="10">
        <v>3</v>
      </c>
      <c r="N8" s="12" t="s">
        <v>596</v>
      </c>
      <c r="O8" s="12" t="s">
        <v>4</v>
      </c>
      <c r="P8" s="10"/>
      <c r="Q8" s="10"/>
      <c r="R8" s="10"/>
      <c r="S8" s="10"/>
      <c r="U8" s="10"/>
      <c r="V8" s="10">
        <v>3</v>
      </c>
      <c r="W8" s="12" t="s">
        <v>156</v>
      </c>
      <c r="X8" s="12" t="s">
        <v>741</v>
      </c>
      <c r="Y8" s="10"/>
      <c r="Z8" s="10"/>
      <c r="AA8" s="10"/>
      <c r="AB8" s="10"/>
      <c r="AD8" s="10" t="s">
        <v>748</v>
      </c>
      <c r="AE8" s="10">
        <v>3</v>
      </c>
      <c r="AF8" s="12" t="s">
        <v>20</v>
      </c>
      <c r="AG8" s="12" t="s">
        <v>580</v>
      </c>
      <c r="AH8" s="10"/>
      <c r="AI8" s="10"/>
      <c r="AJ8" s="10"/>
      <c r="AK8" s="10"/>
      <c r="AM8" s="10"/>
      <c r="AN8" s="10">
        <v>3</v>
      </c>
      <c r="AO8" s="12" t="s">
        <v>291</v>
      </c>
      <c r="AP8" s="12" t="s">
        <v>156</v>
      </c>
      <c r="AQ8" s="10"/>
      <c r="AR8" s="10"/>
      <c r="AT8" s="10"/>
      <c r="AU8" s="10">
        <v>3</v>
      </c>
      <c r="AV8" s="12" t="s">
        <v>70</v>
      </c>
      <c r="AW8" s="12" t="s">
        <v>531</v>
      </c>
      <c r="AX8" s="10"/>
      <c r="AY8" s="10"/>
      <c r="BA8" s="10"/>
      <c r="BB8" s="10">
        <v>3</v>
      </c>
      <c r="BC8" s="12" t="s">
        <v>117</v>
      </c>
      <c r="BD8" s="12" t="s">
        <v>54</v>
      </c>
      <c r="BE8" s="10"/>
      <c r="BF8" s="12"/>
      <c r="BH8" s="10"/>
      <c r="BI8" s="10">
        <v>3</v>
      </c>
      <c r="BJ8" s="12" t="s">
        <v>38</v>
      </c>
      <c r="BK8" s="12" t="s">
        <v>560</v>
      </c>
      <c r="BL8" s="10"/>
      <c r="BM8" s="10"/>
      <c r="BN8" s="10"/>
      <c r="BO8" s="10"/>
      <c r="BQ8" s="10"/>
      <c r="BR8" s="10">
        <v>3</v>
      </c>
      <c r="BS8" s="12" t="s">
        <v>18</v>
      </c>
      <c r="BT8" s="12" t="s">
        <v>251</v>
      </c>
      <c r="BU8" s="10"/>
      <c r="BV8" s="10"/>
      <c r="BX8" s="10"/>
      <c r="BY8" s="10">
        <v>3</v>
      </c>
      <c r="BZ8" s="12" t="s">
        <v>111</v>
      </c>
      <c r="CA8" s="12" t="s">
        <v>38</v>
      </c>
      <c r="CB8" s="10"/>
      <c r="CC8" s="10"/>
      <c r="CD8" s="10"/>
      <c r="CE8" s="10"/>
      <c r="CF8" s="10"/>
      <c r="CH8" s="10"/>
      <c r="CI8" s="10">
        <v>3</v>
      </c>
      <c r="CJ8" s="12"/>
      <c r="CK8" s="12"/>
      <c r="CL8" s="10"/>
      <c r="CM8" s="10"/>
      <c r="CO8" s="34"/>
      <c r="CP8" s="34">
        <v>3</v>
      </c>
      <c r="CQ8" s="37"/>
      <c r="CR8" s="37"/>
      <c r="CS8" s="34"/>
      <c r="CT8" s="34"/>
    </row>
    <row r="9" spans="1:98">
      <c r="A9" s="10"/>
      <c r="B9" s="10"/>
      <c r="C9" s="12">
        <v>2</v>
      </c>
      <c r="D9" s="12">
        <v>0</v>
      </c>
      <c r="E9" s="12"/>
      <c r="F9" s="10"/>
      <c r="G9" s="10"/>
      <c r="H9" s="10"/>
      <c r="I9" s="10"/>
      <c r="J9" s="10"/>
      <c r="L9" s="10"/>
      <c r="M9" s="10"/>
      <c r="N9" s="12">
        <v>1</v>
      </c>
      <c r="O9" s="12">
        <v>0</v>
      </c>
      <c r="P9" s="12"/>
      <c r="Q9" s="10"/>
      <c r="R9" s="10"/>
      <c r="S9" s="10"/>
      <c r="U9" s="10"/>
      <c r="V9" s="10"/>
      <c r="W9" s="12">
        <v>3</v>
      </c>
      <c r="X9" s="12">
        <v>0</v>
      </c>
      <c r="Y9" s="12"/>
      <c r="Z9" s="12"/>
      <c r="AA9" s="12"/>
      <c r="AB9" s="10"/>
      <c r="AD9" s="10"/>
      <c r="AE9" s="10"/>
      <c r="AF9" s="12">
        <v>0</v>
      </c>
      <c r="AG9" s="12">
        <v>2</v>
      </c>
      <c r="AH9" s="12"/>
      <c r="AI9" s="10"/>
      <c r="AJ9" s="10"/>
      <c r="AK9" s="10"/>
      <c r="AM9" s="123"/>
      <c r="AN9" s="10"/>
      <c r="AO9" s="12">
        <v>0</v>
      </c>
      <c r="AP9" s="12">
        <v>1</v>
      </c>
      <c r="AQ9" s="12"/>
      <c r="AR9" s="10"/>
      <c r="AT9" s="10"/>
      <c r="AU9" s="10"/>
      <c r="AV9" s="12">
        <v>1</v>
      </c>
      <c r="AW9" s="12">
        <v>0</v>
      </c>
      <c r="AX9" s="12"/>
      <c r="AY9" s="10"/>
      <c r="BA9" s="10"/>
      <c r="BB9" s="10"/>
      <c r="BC9" s="12">
        <v>1</v>
      </c>
      <c r="BD9" s="12">
        <v>0</v>
      </c>
      <c r="BE9" s="12"/>
      <c r="BF9" s="12"/>
      <c r="BH9" s="10"/>
      <c r="BI9" s="10"/>
      <c r="BJ9" s="12">
        <v>0</v>
      </c>
      <c r="BK9" s="12">
        <v>2</v>
      </c>
      <c r="BL9" s="12"/>
      <c r="BM9" s="12"/>
      <c r="BN9" s="12"/>
      <c r="BO9" s="10"/>
      <c r="BQ9" s="10"/>
      <c r="BR9" s="10"/>
      <c r="BS9" s="12">
        <v>0</v>
      </c>
      <c r="BT9" s="12">
        <v>1</v>
      </c>
      <c r="BU9" s="12"/>
      <c r="BV9" s="10"/>
      <c r="BX9" s="10"/>
      <c r="BY9" s="10"/>
      <c r="BZ9" s="12">
        <v>1</v>
      </c>
      <c r="CA9" s="12">
        <v>0</v>
      </c>
      <c r="CB9" s="12"/>
      <c r="CC9" s="10"/>
      <c r="CD9" s="10"/>
      <c r="CE9" s="10"/>
      <c r="CF9" s="10"/>
      <c r="CH9" s="10"/>
      <c r="CI9" s="10"/>
      <c r="CJ9" s="12"/>
      <c r="CK9" s="12"/>
      <c r="CL9" s="12"/>
      <c r="CM9" s="10"/>
      <c r="CO9" s="34"/>
      <c r="CP9" s="34"/>
      <c r="CQ9" s="37"/>
      <c r="CR9" s="37"/>
      <c r="CS9" s="37"/>
      <c r="CT9" s="34"/>
    </row>
    <row r="10" spans="1:98">
      <c r="A10" s="10"/>
      <c r="B10" s="10">
        <v>4</v>
      </c>
      <c r="C10" s="12" t="s">
        <v>36</v>
      </c>
      <c r="D10" s="12" t="s">
        <v>83</v>
      </c>
      <c r="E10" s="12"/>
      <c r="F10" s="10"/>
      <c r="G10" s="10"/>
      <c r="H10" s="10"/>
      <c r="I10" s="10"/>
      <c r="J10" s="10"/>
      <c r="L10" s="10"/>
      <c r="M10" s="10">
        <v>4</v>
      </c>
      <c r="N10" s="12" t="s">
        <v>117</v>
      </c>
      <c r="O10" s="12" t="s">
        <v>36</v>
      </c>
      <c r="P10" s="12"/>
      <c r="Q10" s="10"/>
      <c r="R10" s="10"/>
      <c r="S10" s="10"/>
      <c r="U10" s="10"/>
      <c r="V10" s="10">
        <v>4</v>
      </c>
      <c r="W10" s="12" t="s">
        <v>596</v>
      </c>
      <c r="X10" s="12" t="s">
        <v>40</v>
      </c>
      <c r="Y10" s="12"/>
      <c r="Z10" s="12"/>
      <c r="AA10" s="12"/>
      <c r="AB10" s="10"/>
      <c r="AD10" s="10"/>
      <c r="AE10" s="10">
        <v>4</v>
      </c>
      <c r="AF10" s="12" t="s">
        <v>156</v>
      </c>
      <c r="AG10" s="12" t="s">
        <v>54</v>
      </c>
      <c r="AH10" s="12"/>
      <c r="AI10" s="10"/>
      <c r="AJ10" s="10"/>
      <c r="AK10" s="10"/>
      <c r="AM10" s="10"/>
      <c r="AN10" s="10">
        <v>4</v>
      </c>
      <c r="AO10" s="12" t="s">
        <v>142</v>
      </c>
      <c r="AP10" s="12" t="s">
        <v>54</v>
      </c>
      <c r="AQ10" s="12"/>
      <c r="AR10" s="10"/>
      <c r="AT10" s="10"/>
      <c r="AU10" s="10">
        <v>4</v>
      </c>
      <c r="AV10" s="12" t="s">
        <v>48</v>
      </c>
      <c r="AW10" s="12" t="s">
        <v>263</v>
      </c>
      <c r="AX10" s="12"/>
      <c r="AY10" s="10"/>
      <c r="BA10" s="10" t="s">
        <v>642</v>
      </c>
      <c r="BB10" s="10">
        <v>4</v>
      </c>
      <c r="BC10" s="12" t="s">
        <v>18</v>
      </c>
      <c r="BD10" s="12" t="s">
        <v>251</v>
      </c>
      <c r="BE10" s="12" t="s">
        <v>20</v>
      </c>
      <c r="BF10" s="12" t="s">
        <v>4</v>
      </c>
      <c r="BH10" s="10"/>
      <c r="BI10" s="10">
        <v>4</v>
      </c>
      <c r="BJ10" s="12" t="s">
        <v>111</v>
      </c>
      <c r="BK10" s="12" t="s">
        <v>8</v>
      </c>
      <c r="BL10" s="12"/>
      <c r="BM10" s="12"/>
      <c r="BN10" s="12"/>
      <c r="BO10" s="10"/>
      <c r="BQ10" s="10"/>
      <c r="BR10" s="10">
        <v>4</v>
      </c>
      <c r="BS10" s="12" t="s">
        <v>558</v>
      </c>
      <c r="BT10" s="12" t="s">
        <v>533</v>
      </c>
      <c r="BU10" s="12"/>
      <c r="BV10" s="10"/>
      <c r="BX10" s="10"/>
      <c r="BY10" s="10">
        <v>4</v>
      </c>
      <c r="BZ10" s="12" t="s">
        <v>16</v>
      </c>
      <c r="CA10" s="12" t="s">
        <v>573</v>
      </c>
      <c r="CB10" s="12"/>
      <c r="CC10" s="10"/>
      <c r="CD10" s="10"/>
      <c r="CE10" s="10"/>
      <c r="CF10" s="10"/>
      <c r="CH10" s="10"/>
      <c r="CI10" s="10">
        <v>4</v>
      </c>
      <c r="CJ10" s="12"/>
      <c r="CK10" s="12"/>
      <c r="CL10" s="12"/>
      <c r="CM10" s="10"/>
      <c r="CO10" s="34"/>
      <c r="CP10" s="34">
        <v>4</v>
      </c>
      <c r="CQ10" s="37"/>
      <c r="CR10" s="37"/>
      <c r="CS10" s="37"/>
      <c r="CT10" s="34"/>
    </row>
    <row r="11" spans="1:98">
      <c r="A11" s="10"/>
      <c r="B11" s="10"/>
      <c r="C11" s="12">
        <v>0</v>
      </c>
      <c r="D11" s="12">
        <v>3</v>
      </c>
      <c r="E11" s="12"/>
      <c r="F11" s="10"/>
      <c r="G11" s="10"/>
      <c r="H11" s="10"/>
      <c r="I11" s="10"/>
      <c r="J11" s="10"/>
      <c r="L11" s="10"/>
      <c r="M11" s="10"/>
      <c r="N11" s="12">
        <v>1</v>
      </c>
      <c r="O11" s="12">
        <v>0</v>
      </c>
      <c r="P11" s="12"/>
      <c r="Q11" s="10"/>
      <c r="R11" s="10"/>
      <c r="S11" s="10"/>
      <c r="U11" s="10"/>
      <c r="V11" s="10"/>
      <c r="W11" s="12">
        <v>2</v>
      </c>
      <c r="X11" s="12">
        <v>0</v>
      </c>
      <c r="Y11" s="12"/>
      <c r="Z11" s="12"/>
      <c r="AA11" s="12"/>
      <c r="AB11" s="10"/>
      <c r="AD11" s="10"/>
      <c r="AE11" s="10"/>
      <c r="AF11" s="12">
        <v>2</v>
      </c>
      <c r="AG11" s="12">
        <v>0</v>
      </c>
      <c r="AH11" s="12"/>
      <c r="AI11" s="10"/>
      <c r="AJ11" s="10"/>
      <c r="AK11" s="10"/>
      <c r="AM11" s="123"/>
      <c r="AN11" s="10"/>
      <c r="AO11" s="12">
        <v>3</v>
      </c>
      <c r="AP11" s="12">
        <v>0</v>
      </c>
      <c r="AQ11" s="12"/>
      <c r="AR11" s="10"/>
      <c r="AT11" s="10"/>
      <c r="AU11" s="10"/>
      <c r="AV11" s="12">
        <v>0</v>
      </c>
      <c r="AW11" s="12">
        <v>2</v>
      </c>
      <c r="AX11" s="12"/>
      <c r="AY11" s="10"/>
      <c r="BA11" s="10"/>
      <c r="BB11" s="10"/>
      <c r="BC11" s="12">
        <v>0</v>
      </c>
      <c r="BD11" s="12">
        <v>1</v>
      </c>
      <c r="BE11" s="12">
        <v>0</v>
      </c>
      <c r="BF11" s="12">
        <v>0</v>
      </c>
      <c r="BH11" s="10"/>
      <c r="BI11" s="10"/>
      <c r="BJ11" s="12">
        <v>2</v>
      </c>
      <c r="BK11" s="12">
        <v>0</v>
      </c>
      <c r="BL11" s="12"/>
      <c r="BM11" s="12"/>
      <c r="BN11" s="12"/>
      <c r="BO11" s="10"/>
      <c r="BQ11" s="10"/>
      <c r="BR11" s="10"/>
      <c r="BS11" s="12">
        <v>1</v>
      </c>
      <c r="BT11" s="12">
        <v>0</v>
      </c>
      <c r="BU11" s="12"/>
      <c r="BV11" s="10"/>
      <c r="BX11" s="10"/>
      <c r="BY11" s="10"/>
      <c r="BZ11" s="12">
        <v>0</v>
      </c>
      <c r="CA11" s="12">
        <v>1</v>
      </c>
      <c r="CB11" s="10"/>
      <c r="CC11" s="10"/>
      <c r="CD11" s="10"/>
      <c r="CE11" s="10"/>
      <c r="CF11" s="10"/>
      <c r="CH11" s="10"/>
      <c r="CI11" s="10"/>
      <c r="CJ11" s="12"/>
      <c r="CK11" s="12"/>
      <c r="CL11" s="12"/>
      <c r="CM11" s="10"/>
      <c r="CO11" s="34"/>
      <c r="CP11" s="34"/>
      <c r="CQ11" s="37"/>
      <c r="CR11" s="37"/>
      <c r="CS11" s="37"/>
      <c r="CT11" s="34"/>
    </row>
    <row r="12" spans="1:98">
      <c r="A12" s="10" t="s">
        <v>139</v>
      </c>
      <c r="B12" s="10">
        <v>5</v>
      </c>
      <c r="C12" s="12" t="s">
        <v>52</v>
      </c>
      <c r="D12" s="12" t="s">
        <v>144</v>
      </c>
      <c r="E12" s="12"/>
      <c r="F12" s="10"/>
      <c r="G12" s="10"/>
      <c r="H12" s="10"/>
      <c r="I12" s="10"/>
      <c r="J12" s="10"/>
      <c r="L12" s="10" t="s">
        <v>140</v>
      </c>
      <c r="M12" s="10">
        <v>5</v>
      </c>
      <c r="N12" s="12" t="s">
        <v>40</v>
      </c>
      <c r="O12" s="12" t="s">
        <v>558</v>
      </c>
      <c r="P12" s="12"/>
      <c r="Q12" s="10"/>
      <c r="R12" s="10"/>
      <c r="S12" s="10"/>
      <c r="U12" s="10" t="s">
        <v>233</v>
      </c>
      <c r="V12" s="10">
        <v>5</v>
      </c>
      <c r="W12" s="12" t="s">
        <v>144</v>
      </c>
      <c r="X12" s="12" t="s">
        <v>76</v>
      </c>
      <c r="Y12" s="12"/>
      <c r="Z12" s="12"/>
      <c r="AA12" s="12"/>
      <c r="AB12" s="10"/>
      <c r="AD12" s="10" t="s">
        <v>220</v>
      </c>
      <c r="AE12" s="10">
        <v>5</v>
      </c>
      <c r="AF12" s="12" t="s">
        <v>13</v>
      </c>
      <c r="AG12" s="12" t="s">
        <v>144</v>
      </c>
      <c r="AH12" s="12"/>
      <c r="AI12" s="10"/>
      <c r="AJ12" s="10"/>
      <c r="AK12" s="10"/>
      <c r="AM12" s="10" t="s">
        <v>139</v>
      </c>
      <c r="AN12" s="10">
        <v>5</v>
      </c>
      <c r="AO12" s="12" t="s">
        <v>568</v>
      </c>
      <c r="AP12" s="12" t="s">
        <v>52</v>
      </c>
      <c r="AQ12" s="12"/>
      <c r="AR12" s="10"/>
      <c r="AT12" s="10" t="s">
        <v>140</v>
      </c>
      <c r="AU12" s="10">
        <v>5</v>
      </c>
      <c r="AV12" s="12" t="s">
        <v>37</v>
      </c>
      <c r="AW12" s="12" t="s">
        <v>596</v>
      </c>
      <c r="AX12" s="12"/>
      <c r="AY12" s="10"/>
      <c r="BA12" s="10" t="s">
        <v>643</v>
      </c>
      <c r="BB12" s="10">
        <v>5</v>
      </c>
      <c r="BC12" s="12" t="s">
        <v>569</v>
      </c>
      <c r="BD12" s="12" t="s">
        <v>291</v>
      </c>
      <c r="BE12" s="12" t="s">
        <v>8</v>
      </c>
      <c r="BF12" s="12" t="s">
        <v>533</v>
      </c>
      <c r="BH12" s="10" t="s">
        <v>306</v>
      </c>
      <c r="BI12" s="10">
        <v>5</v>
      </c>
      <c r="BJ12" s="12" t="s">
        <v>117</v>
      </c>
      <c r="BK12" s="12" t="s">
        <v>60</v>
      </c>
      <c r="BL12" s="12"/>
      <c r="BM12" s="12"/>
      <c r="BN12" s="12"/>
      <c r="BO12" s="10"/>
      <c r="BQ12" s="10" t="s">
        <v>139</v>
      </c>
      <c r="BR12" s="10">
        <v>5</v>
      </c>
      <c r="BS12" s="12" t="s">
        <v>37</v>
      </c>
      <c r="BT12" s="12" t="s">
        <v>111</v>
      </c>
      <c r="BU12" s="12"/>
      <c r="BV12" s="10"/>
      <c r="BX12" s="10"/>
      <c r="BY12" s="10">
        <v>5</v>
      </c>
      <c r="BZ12" s="12" t="s">
        <v>64</v>
      </c>
      <c r="CA12" s="12" t="s">
        <v>574</v>
      </c>
      <c r="CB12" s="12"/>
      <c r="CC12" s="10"/>
      <c r="CD12" s="10"/>
      <c r="CE12" s="10"/>
      <c r="CF12" s="10"/>
      <c r="CH12" s="10"/>
      <c r="CI12" s="10">
        <v>5</v>
      </c>
      <c r="CJ12" s="12"/>
      <c r="CK12" s="12"/>
      <c r="CL12" s="12"/>
      <c r="CM12" s="10"/>
      <c r="CO12" s="34"/>
      <c r="CP12" s="34">
        <v>5</v>
      </c>
      <c r="CQ12" s="37"/>
      <c r="CR12" s="37"/>
      <c r="CS12" s="37"/>
      <c r="CT12" s="34"/>
    </row>
    <row r="13" spans="1:98">
      <c r="A13" s="10"/>
      <c r="B13" s="10"/>
      <c r="C13" s="12">
        <v>0</v>
      </c>
      <c r="D13" s="12">
        <v>0</v>
      </c>
      <c r="E13" s="12"/>
      <c r="F13" s="10"/>
      <c r="G13" s="10"/>
      <c r="H13" s="10"/>
      <c r="I13" s="10"/>
      <c r="J13" s="10"/>
      <c r="L13" s="10"/>
      <c r="M13" s="10"/>
      <c r="N13" s="12">
        <v>0</v>
      </c>
      <c r="O13" s="12">
        <v>2</v>
      </c>
      <c r="P13" s="12"/>
      <c r="Q13" s="10"/>
      <c r="R13" s="10"/>
      <c r="S13" s="10"/>
      <c r="U13" s="10"/>
      <c r="V13" s="10"/>
      <c r="W13" s="12">
        <v>2</v>
      </c>
      <c r="X13" s="12">
        <v>-2</v>
      </c>
      <c r="Y13" s="12"/>
      <c r="Z13" s="12"/>
      <c r="AA13" s="12"/>
      <c r="AB13" s="10"/>
      <c r="AD13" s="10"/>
      <c r="AE13" s="10"/>
      <c r="AF13" s="12">
        <v>0</v>
      </c>
      <c r="AG13" s="12">
        <v>1</v>
      </c>
      <c r="AH13" s="12"/>
      <c r="AI13" s="10"/>
      <c r="AJ13" s="10"/>
      <c r="AK13" s="10"/>
      <c r="AM13" s="123"/>
      <c r="AN13" s="10"/>
      <c r="AO13" s="12">
        <v>1</v>
      </c>
      <c r="AP13" s="12">
        <v>-1</v>
      </c>
      <c r="AQ13" s="12"/>
      <c r="AR13" s="10"/>
      <c r="AT13" s="10"/>
      <c r="AU13" s="10"/>
      <c r="AV13" s="12">
        <v>0</v>
      </c>
      <c r="AW13" s="12">
        <v>2</v>
      </c>
      <c r="AX13" s="12"/>
      <c r="AY13" s="10"/>
      <c r="BA13" s="10"/>
      <c r="BB13" s="10"/>
      <c r="BC13" s="12">
        <v>1</v>
      </c>
      <c r="BD13" s="12">
        <v>0</v>
      </c>
      <c r="BE13" s="12">
        <v>0</v>
      </c>
      <c r="BF13" s="12">
        <v>0</v>
      </c>
      <c r="BH13" s="10"/>
      <c r="BI13" s="10"/>
      <c r="BJ13" s="12">
        <v>1</v>
      </c>
      <c r="BK13" s="12">
        <v>0</v>
      </c>
      <c r="BL13" s="12"/>
      <c r="BM13" s="12"/>
      <c r="BN13" s="12"/>
      <c r="BO13" s="10"/>
      <c r="BQ13" s="10"/>
      <c r="BR13" s="10"/>
      <c r="BS13" s="12">
        <v>-2</v>
      </c>
      <c r="BT13" s="12">
        <v>2</v>
      </c>
      <c r="BU13" s="12"/>
      <c r="BV13" s="10"/>
      <c r="BX13" s="10"/>
      <c r="BY13" s="10"/>
      <c r="BZ13" s="12">
        <v>0</v>
      </c>
      <c r="CA13" s="12">
        <v>1</v>
      </c>
      <c r="CB13" s="12"/>
      <c r="CC13" s="10"/>
      <c r="CD13" s="10"/>
      <c r="CE13" s="10"/>
      <c r="CF13" s="10"/>
      <c r="CH13" s="10"/>
      <c r="CI13" s="10"/>
      <c r="CJ13" s="12"/>
      <c r="CK13" s="12"/>
      <c r="CL13" s="12"/>
      <c r="CM13" s="10"/>
      <c r="CO13" s="34"/>
      <c r="CP13" s="34"/>
      <c r="CQ13" s="37"/>
      <c r="CR13" s="37"/>
      <c r="CS13" s="37"/>
      <c r="CT13" s="34"/>
    </row>
    <row r="14" spans="1:98">
      <c r="C14" s="6"/>
      <c r="D14" s="6"/>
      <c r="N14" s="6"/>
      <c r="O14" s="6"/>
      <c r="W14" s="6"/>
      <c r="X14" s="6"/>
      <c r="AF14" s="6"/>
      <c r="AG14" s="6"/>
      <c r="AO14" s="6"/>
      <c r="AP14" s="6"/>
      <c r="AV14" s="6"/>
      <c r="AW14" s="6"/>
      <c r="BC14" s="6"/>
      <c r="BD14" s="6"/>
      <c r="BJ14" s="6"/>
      <c r="BK14" s="6"/>
      <c r="BS14" s="6"/>
      <c r="BT14" s="6"/>
      <c r="BZ14" s="6"/>
      <c r="CA14" s="6"/>
      <c r="CJ14" s="6"/>
      <c r="CK14" s="6"/>
      <c r="CO14" s="32"/>
      <c r="CP14" s="32"/>
      <c r="CQ14" s="33"/>
      <c r="CR14" s="33"/>
      <c r="CS14" s="32"/>
      <c r="CT14" s="32"/>
    </row>
    <row r="15" spans="1:98" ht="21">
      <c r="A15" s="7"/>
      <c r="B15" s="8" t="s">
        <v>73</v>
      </c>
      <c r="C15" s="28" t="s">
        <v>260</v>
      </c>
      <c r="D15" s="9"/>
      <c r="E15" s="7"/>
      <c r="F15" s="7"/>
      <c r="G15" s="7"/>
      <c r="H15" s="7"/>
      <c r="I15" s="7"/>
      <c r="J15" s="7"/>
      <c r="L15" s="7"/>
      <c r="M15" s="8" t="s">
        <v>73</v>
      </c>
      <c r="N15" s="28" t="s">
        <v>238</v>
      </c>
      <c r="O15" s="9"/>
      <c r="P15" s="7"/>
      <c r="Q15" s="7"/>
      <c r="R15" s="7"/>
      <c r="S15" s="7"/>
      <c r="U15" s="7"/>
      <c r="V15" s="8" t="s">
        <v>73</v>
      </c>
      <c r="W15" s="28" t="s">
        <v>154</v>
      </c>
      <c r="X15" s="9"/>
      <c r="Y15" s="7"/>
      <c r="Z15" s="7"/>
      <c r="AA15" s="7"/>
      <c r="AB15" s="7"/>
      <c r="AD15" s="7"/>
      <c r="AE15" s="8" t="s">
        <v>73</v>
      </c>
      <c r="AF15" s="28" t="s">
        <v>152</v>
      </c>
      <c r="AG15" s="9"/>
      <c r="AH15" s="7"/>
      <c r="AI15" s="7"/>
      <c r="AJ15" s="7"/>
      <c r="AK15" s="7"/>
      <c r="AM15" s="7"/>
      <c r="AN15" s="8" t="s">
        <v>73</v>
      </c>
      <c r="AO15" s="28" t="s">
        <v>811</v>
      </c>
      <c r="AP15" s="9"/>
      <c r="AQ15" s="7"/>
      <c r="AR15" s="7"/>
      <c r="AT15" s="7"/>
      <c r="AU15" s="8" t="s">
        <v>73</v>
      </c>
      <c r="AV15" s="28" t="s">
        <v>470</v>
      </c>
      <c r="AW15" s="9"/>
      <c r="AX15" s="7"/>
      <c r="AY15" s="7"/>
      <c r="BA15" s="7"/>
      <c r="BB15" s="8" t="s">
        <v>73</v>
      </c>
      <c r="BC15" s="28" t="s">
        <v>451</v>
      </c>
      <c r="BD15" s="9"/>
      <c r="BE15" s="7"/>
      <c r="BF15" s="9"/>
      <c r="BH15" s="7"/>
      <c r="BI15" s="8" t="s">
        <v>73</v>
      </c>
      <c r="BJ15" s="28" t="s">
        <v>487</v>
      </c>
      <c r="BK15" s="9"/>
      <c r="BL15" s="7"/>
      <c r="BM15" s="7"/>
      <c r="BN15" s="7"/>
      <c r="BO15" s="7"/>
      <c r="BQ15" s="7"/>
      <c r="BR15" s="8" t="s">
        <v>73</v>
      </c>
      <c r="BS15" s="28" t="s">
        <v>492</v>
      </c>
      <c r="BT15" s="9"/>
      <c r="BU15" s="7"/>
      <c r="BV15" s="7"/>
      <c r="BX15" s="7"/>
      <c r="BY15" s="8" t="s">
        <v>73</v>
      </c>
      <c r="BZ15" s="28" t="s">
        <v>895</v>
      </c>
      <c r="CA15" s="9"/>
      <c r="CB15" s="7"/>
      <c r="CC15" s="7"/>
      <c r="CD15" s="7"/>
      <c r="CE15" s="7"/>
      <c r="CF15" s="7"/>
      <c r="CH15" s="7"/>
      <c r="CI15" s="8" t="s">
        <v>73</v>
      </c>
      <c r="CJ15" s="28" t="s">
        <v>720</v>
      </c>
      <c r="CK15" s="9"/>
      <c r="CL15" s="7"/>
      <c r="CM15" s="7"/>
      <c r="CO15" s="38"/>
      <c r="CP15" s="39" t="s">
        <v>189</v>
      </c>
      <c r="CQ15" s="40" t="s">
        <v>466</v>
      </c>
      <c r="CR15" s="41"/>
      <c r="CS15" s="38"/>
      <c r="CT15" s="38"/>
    </row>
    <row r="16" spans="1:98">
      <c r="A16" s="7"/>
      <c r="B16" s="7">
        <v>1</v>
      </c>
      <c r="C16" s="9" t="s">
        <v>723</v>
      </c>
      <c r="D16" s="9" t="s">
        <v>39</v>
      </c>
      <c r="E16" s="9"/>
      <c r="F16" s="7"/>
      <c r="G16" s="7"/>
      <c r="H16" s="7"/>
      <c r="I16" s="7"/>
      <c r="J16" s="7"/>
      <c r="L16" s="7"/>
      <c r="M16" s="7">
        <v>1</v>
      </c>
      <c r="N16" s="9" t="s">
        <v>81</v>
      </c>
      <c r="O16" s="9" t="s">
        <v>1</v>
      </c>
      <c r="P16" s="9"/>
      <c r="Q16" s="7"/>
      <c r="R16" s="7"/>
      <c r="S16" s="7"/>
      <c r="U16" s="7"/>
      <c r="V16" s="7">
        <v>1</v>
      </c>
      <c r="W16" s="9" t="s">
        <v>62</v>
      </c>
      <c r="X16" s="9" t="s">
        <v>547</v>
      </c>
      <c r="Y16" s="9"/>
      <c r="Z16" s="9"/>
      <c r="AA16" s="9"/>
      <c r="AB16" s="7"/>
      <c r="AD16" s="7"/>
      <c r="AE16" s="7">
        <v>1</v>
      </c>
      <c r="AF16" s="9" t="s">
        <v>326</v>
      </c>
      <c r="AG16" s="9" t="s">
        <v>203</v>
      </c>
      <c r="AH16" s="9"/>
      <c r="AI16" s="7"/>
      <c r="AJ16" s="7"/>
      <c r="AK16" s="7"/>
      <c r="AM16" s="7"/>
      <c r="AN16" s="7">
        <v>1</v>
      </c>
      <c r="AO16" s="9" t="s">
        <v>531</v>
      </c>
      <c r="AP16" s="9" t="s">
        <v>81</v>
      </c>
      <c r="AQ16" s="9"/>
      <c r="AR16" s="7"/>
      <c r="AT16" s="7"/>
      <c r="AU16" s="7">
        <v>1</v>
      </c>
      <c r="AV16" s="9" t="s">
        <v>166</v>
      </c>
      <c r="AW16" s="9" t="s">
        <v>326</v>
      </c>
      <c r="AX16" s="9"/>
      <c r="AY16" s="7"/>
      <c r="BA16" s="7"/>
      <c r="BB16" s="7">
        <v>1</v>
      </c>
      <c r="BC16" s="9" t="s">
        <v>143</v>
      </c>
      <c r="BD16" s="9" t="s">
        <v>11</v>
      </c>
      <c r="BE16" s="9"/>
      <c r="BF16" s="9"/>
      <c r="BH16" s="7"/>
      <c r="BI16" s="7">
        <v>1</v>
      </c>
      <c r="BJ16" s="9" t="s">
        <v>23</v>
      </c>
      <c r="BK16" s="9" t="s">
        <v>577</v>
      </c>
      <c r="BL16" s="9"/>
      <c r="BM16" s="9"/>
      <c r="BN16" s="9"/>
      <c r="BO16" s="7"/>
      <c r="BQ16" s="7"/>
      <c r="BR16" s="7">
        <v>1</v>
      </c>
      <c r="BS16" s="9" t="s">
        <v>66</v>
      </c>
      <c r="BT16" s="9" t="s">
        <v>561</v>
      </c>
      <c r="BU16" s="9"/>
      <c r="BV16" s="7"/>
      <c r="BX16" s="7"/>
      <c r="BY16" s="7">
        <v>1</v>
      </c>
      <c r="BZ16" s="9" t="s">
        <v>11</v>
      </c>
      <c r="CA16" s="9" t="s">
        <v>81</v>
      </c>
      <c r="CB16" s="9"/>
      <c r="CC16" s="7"/>
      <c r="CD16" s="7"/>
      <c r="CE16" s="7"/>
      <c r="CF16" s="7"/>
      <c r="CH16" s="7"/>
      <c r="CI16" s="7">
        <v>1</v>
      </c>
      <c r="CJ16" s="9"/>
      <c r="CK16" s="9"/>
      <c r="CL16" s="9"/>
      <c r="CM16" s="7"/>
      <c r="CO16" s="38"/>
      <c r="CP16" s="38">
        <v>1</v>
      </c>
      <c r="CQ16" s="41"/>
      <c r="CR16" s="41"/>
      <c r="CS16" s="41"/>
      <c r="CT16" s="38"/>
    </row>
    <row r="17" spans="1:98">
      <c r="A17" s="7"/>
      <c r="B17" s="7"/>
      <c r="C17" s="9">
        <v>1</v>
      </c>
      <c r="D17" s="9">
        <v>0</v>
      </c>
      <c r="E17" s="9"/>
      <c r="F17" s="7"/>
      <c r="G17" s="7"/>
      <c r="H17" s="7"/>
      <c r="I17" s="7"/>
      <c r="J17" s="7"/>
      <c r="L17" s="7"/>
      <c r="M17" s="7"/>
      <c r="N17" s="9">
        <v>2</v>
      </c>
      <c r="O17" s="9">
        <v>0</v>
      </c>
      <c r="P17" s="9"/>
      <c r="Q17" s="7"/>
      <c r="R17" s="7"/>
      <c r="S17" s="7"/>
      <c r="U17" s="7"/>
      <c r="V17" s="7"/>
      <c r="W17" s="9">
        <v>0</v>
      </c>
      <c r="X17" s="9">
        <v>2</v>
      </c>
      <c r="Y17" s="9"/>
      <c r="Z17" s="9"/>
      <c r="AA17" s="9"/>
      <c r="AB17" s="7"/>
      <c r="AD17" s="7"/>
      <c r="AE17" s="7"/>
      <c r="AF17" s="9">
        <v>0</v>
      </c>
      <c r="AG17" s="9">
        <v>1</v>
      </c>
      <c r="AH17" s="9"/>
      <c r="AI17" s="7"/>
      <c r="AJ17" s="7"/>
      <c r="AK17" s="7"/>
      <c r="AM17" s="7"/>
      <c r="AN17" s="7"/>
      <c r="AO17" s="9">
        <v>0</v>
      </c>
      <c r="AP17" s="9">
        <v>2</v>
      </c>
      <c r="AQ17" s="9"/>
      <c r="AR17" s="7"/>
      <c r="AT17" s="7"/>
      <c r="AU17" s="7"/>
      <c r="AV17" s="9">
        <v>1</v>
      </c>
      <c r="AW17" s="9">
        <v>0</v>
      </c>
      <c r="AX17" s="9"/>
      <c r="AY17" s="7"/>
      <c r="BA17" s="7" t="s">
        <v>782</v>
      </c>
      <c r="BB17" s="7"/>
      <c r="BC17" s="9">
        <v>3</v>
      </c>
      <c r="BD17" s="9">
        <v>0</v>
      </c>
      <c r="BE17" s="9"/>
      <c r="BF17" s="9"/>
      <c r="BH17" s="7"/>
      <c r="BI17" s="7"/>
      <c r="BJ17" s="9">
        <v>0</v>
      </c>
      <c r="BK17" s="9">
        <v>2</v>
      </c>
      <c r="BL17" s="9"/>
      <c r="BM17" s="9"/>
      <c r="BN17" s="9"/>
      <c r="BO17" s="7"/>
      <c r="BQ17" s="7"/>
      <c r="BR17" s="7"/>
      <c r="BS17" s="9">
        <v>0</v>
      </c>
      <c r="BT17" s="9">
        <v>1</v>
      </c>
      <c r="BU17" s="9"/>
      <c r="BV17" s="7"/>
      <c r="BX17" s="7"/>
      <c r="BY17" s="7"/>
      <c r="BZ17" s="9">
        <v>0</v>
      </c>
      <c r="CA17" s="9">
        <v>2</v>
      </c>
      <c r="CB17" s="9"/>
      <c r="CC17" s="7"/>
      <c r="CD17" s="7"/>
      <c r="CE17" s="7"/>
      <c r="CF17" s="7"/>
      <c r="CH17" s="7"/>
      <c r="CI17" s="7"/>
      <c r="CJ17" s="9"/>
      <c r="CK17" s="9"/>
      <c r="CL17" s="9"/>
      <c r="CM17" s="7"/>
      <c r="CO17" s="38"/>
      <c r="CP17" s="38"/>
      <c r="CQ17" s="41"/>
      <c r="CR17" s="41"/>
      <c r="CS17" s="41"/>
      <c r="CT17" s="38"/>
    </row>
    <row r="18" spans="1:98">
      <c r="A18" s="7"/>
      <c r="B18" s="7">
        <v>2</v>
      </c>
      <c r="C18" s="9" t="s">
        <v>1</v>
      </c>
      <c r="D18" s="9" t="s">
        <v>567</v>
      </c>
      <c r="E18" s="9"/>
      <c r="F18" s="7"/>
      <c r="G18" s="7"/>
      <c r="H18" s="7"/>
      <c r="I18" s="7"/>
      <c r="J18" s="7"/>
      <c r="L18" s="7"/>
      <c r="M18" s="7">
        <v>2</v>
      </c>
      <c r="N18" s="9" t="s">
        <v>96</v>
      </c>
      <c r="O18" s="9" t="s">
        <v>62</v>
      </c>
      <c r="P18" s="9"/>
      <c r="Q18" s="7"/>
      <c r="R18" s="7"/>
      <c r="S18" s="7"/>
      <c r="U18" s="7"/>
      <c r="V18" s="7">
        <v>2</v>
      </c>
      <c r="W18" s="9" t="s">
        <v>50</v>
      </c>
      <c r="X18" s="9" t="s">
        <v>577</v>
      </c>
      <c r="Y18" s="9"/>
      <c r="Z18" s="9"/>
      <c r="AA18" s="9"/>
      <c r="AB18" s="7"/>
      <c r="AD18" s="7"/>
      <c r="AE18" s="7">
        <v>2</v>
      </c>
      <c r="AF18" s="9" t="s">
        <v>88</v>
      </c>
      <c r="AG18" s="9" t="s">
        <v>15</v>
      </c>
      <c r="AH18" s="9"/>
      <c r="AI18" s="7"/>
      <c r="AJ18" s="7"/>
      <c r="AK18" s="7"/>
      <c r="AM18" s="7"/>
      <c r="AN18" s="7">
        <v>2</v>
      </c>
      <c r="AO18" s="9" t="s">
        <v>10</v>
      </c>
      <c r="AP18" s="9" t="s">
        <v>549</v>
      </c>
      <c r="AQ18" s="9"/>
      <c r="AR18" s="7"/>
      <c r="AT18" s="7"/>
      <c r="AU18" s="7">
        <v>2</v>
      </c>
      <c r="AV18" s="9" t="s">
        <v>566</v>
      </c>
      <c r="AW18" s="9" t="s">
        <v>23</v>
      </c>
      <c r="AX18" s="9"/>
      <c r="AY18" s="7"/>
      <c r="BA18" s="7"/>
      <c r="BB18" s="7">
        <v>2</v>
      </c>
      <c r="BC18" s="9" t="s">
        <v>17</v>
      </c>
      <c r="BD18" s="9" t="s">
        <v>96</v>
      </c>
      <c r="BE18" s="9"/>
      <c r="BF18" s="9"/>
      <c r="BH18" s="7"/>
      <c r="BI18" s="7">
        <v>2</v>
      </c>
      <c r="BJ18" s="9" t="s">
        <v>545</v>
      </c>
      <c r="BK18" s="9" t="s">
        <v>326</v>
      </c>
      <c r="BL18" s="9"/>
      <c r="BM18" s="9"/>
      <c r="BN18" s="9"/>
      <c r="BO18" s="7"/>
      <c r="BQ18" s="7"/>
      <c r="BR18" s="7">
        <v>2</v>
      </c>
      <c r="BS18" s="9" t="s">
        <v>546</v>
      </c>
      <c r="BT18" s="9" t="s">
        <v>11</v>
      </c>
      <c r="BU18" s="9"/>
      <c r="BV18" s="7"/>
      <c r="BX18" s="7"/>
      <c r="BY18" s="7">
        <v>2</v>
      </c>
      <c r="BZ18" s="9" t="s">
        <v>545</v>
      </c>
      <c r="CA18" s="9" t="s">
        <v>66</v>
      </c>
      <c r="CB18" s="9"/>
      <c r="CC18" s="7"/>
      <c r="CD18" s="7"/>
      <c r="CE18" s="7"/>
      <c r="CF18" s="7"/>
      <c r="CH18" s="7"/>
      <c r="CI18" s="7">
        <v>2</v>
      </c>
      <c r="CJ18" s="9"/>
      <c r="CK18" s="9"/>
      <c r="CL18" s="9"/>
      <c r="CM18" s="7"/>
      <c r="CO18" s="38"/>
      <c r="CP18" s="38">
        <v>2</v>
      </c>
      <c r="CQ18" s="41"/>
      <c r="CR18" s="41"/>
      <c r="CS18" s="41"/>
      <c r="CT18" s="38"/>
    </row>
    <row r="19" spans="1:98">
      <c r="A19" s="7"/>
      <c r="B19" s="7"/>
      <c r="C19" s="9">
        <v>0</v>
      </c>
      <c r="D19" s="9">
        <v>1</v>
      </c>
      <c r="E19" s="9"/>
      <c r="F19" s="7"/>
      <c r="G19" s="7"/>
      <c r="H19" s="7"/>
      <c r="I19" s="7"/>
      <c r="J19" s="7"/>
      <c r="L19" s="7"/>
      <c r="M19" s="7"/>
      <c r="N19" s="9">
        <v>2</v>
      </c>
      <c r="O19" s="9">
        <v>0</v>
      </c>
      <c r="P19" s="9"/>
      <c r="Q19" s="7"/>
      <c r="R19" s="7"/>
      <c r="S19" s="7"/>
      <c r="U19" s="7"/>
      <c r="V19" s="7"/>
      <c r="W19" s="9">
        <v>0</v>
      </c>
      <c r="X19" s="9">
        <v>3</v>
      </c>
      <c r="Y19" s="9"/>
      <c r="Z19" s="9"/>
      <c r="AA19" s="9"/>
      <c r="AB19" s="7"/>
      <c r="AD19" s="7"/>
      <c r="AE19" s="7"/>
      <c r="AF19" s="9">
        <v>1</v>
      </c>
      <c r="AG19" s="9">
        <v>0</v>
      </c>
      <c r="AH19" s="9"/>
      <c r="AI19" s="7"/>
      <c r="AJ19" s="7"/>
      <c r="AK19" s="7"/>
      <c r="AM19" s="7"/>
      <c r="AN19" s="7"/>
      <c r="AO19" s="9">
        <v>0</v>
      </c>
      <c r="AP19" s="9">
        <v>2</v>
      </c>
      <c r="AQ19" s="9"/>
      <c r="AR19" s="7"/>
      <c r="AT19" s="7"/>
      <c r="AU19" s="7"/>
      <c r="AV19" s="9">
        <v>2</v>
      </c>
      <c r="AW19" s="9">
        <v>0</v>
      </c>
      <c r="AX19" s="9"/>
      <c r="AY19" s="7"/>
      <c r="BA19" s="7"/>
      <c r="BB19" s="7"/>
      <c r="BC19" s="9">
        <v>0</v>
      </c>
      <c r="BD19" s="9">
        <v>1</v>
      </c>
      <c r="BE19" s="9"/>
      <c r="BF19" s="9"/>
      <c r="BH19" s="7"/>
      <c r="BI19" s="7"/>
      <c r="BJ19" s="9">
        <v>3</v>
      </c>
      <c r="BK19" s="9">
        <v>0</v>
      </c>
      <c r="BL19" s="9"/>
      <c r="BM19" s="9"/>
      <c r="BN19" s="9"/>
      <c r="BO19" s="7"/>
      <c r="BQ19" s="7"/>
      <c r="BR19" s="7"/>
      <c r="BS19" s="9">
        <v>2</v>
      </c>
      <c r="BT19" s="9">
        <v>0</v>
      </c>
      <c r="BU19" s="9"/>
      <c r="BV19" s="7"/>
      <c r="BX19" s="7"/>
      <c r="BY19" s="7"/>
      <c r="BZ19" s="9">
        <v>1</v>
      </c>
      <c r="CA19" s="9">
        <v>0</v>
      </c>
      <c r="CB19" s="9"/>
      <c r="CC19" s="7"/>
      <c r="CD19" s="7"/>
      <c r="CE19" s="7"/>
      <c r="CF19" s="7"/>
      <c r="CH19" s="7"/>
      <c r="CI19" s="7"/>
      <c r="CJ19" s="9"/>
      <c r="CK19" s="9"/>
      <c r="CL19" s="9"/>
      <c r="CM19" s="7"/>
      <c r="CO19" s="38"/>
      <c r="CP19" s="38"/>
      <c r="CQ19" s="41"/>
      <c r="CR19" s="41"/>
      <c r="CS19" s="41"/>
      <c r="CT19" s="38"/>
    </row>
    <row r="20" spans="1:98">
      <c r="A20" s="7"/>
      <c r="B20" s="7">
        <v>3</v>
      </c>
      <c r="C20" s="9" t="s">
        <v>118</v>
      </c>
      <c r="D20" s="9" t="s">
        <v>17</v>
      </c>
      <c r="E20" s="7"/>
      <c r="F20" s="7"/>
      <c r="G20" s="7"/>
      <c r="H20" s="7"/>
      <c r="I20" s="7"/>
      <c r="J20" s="7"/>
      <c r="L20" s="7"/>
      <c r="M20" s="7">
        <v>3</v>
      </c>
      <c r="N20" s="9" t="s">
        <v>723</v>
      </c>
      <c r="O20" s="9" t="s">
        <v>17</v>
      </c>
      <c r="P20" s="7"/>
      <c r="Q20" s="7"/>
      <c r="R20" s="7"/>
      <c r="S20" s="7"/>
      <c r="U20" s="7"/>
      <c r="V20" s="7">
        <v>3</v>
      </c>
      <c r="W20" s="9" t="s">
        <v>17</v>
      </c>
      <c r="X20" s="9" t="s">
        <v>96</v>
      </c>
      <c r="Y20" s="7"/>
      <c r="Z20" s="7"/>
      <c r="AA20" s="7"/>
      <c r="AB20" s="7"/>
      <c r="AD20" s="7" t="s">
        <v>220</v>
      </c>
      <c r="AE20" s="7">
        <v>3</v>
      </c>
      <c r="AF20" s="9" t="s">
        <v>124</v>
      </c>
      <c r="AG20" s="9" t="s">
        <v>16</v>
      </c>
      <c r="AH20" s="7"/>
      <c r="AI20" s="7"/>
      <c r="AJ20" s="7"/>
      <c r="AK20" s="7"/>
      <c r="AM20" s="7"/>
      <c r="AN20" s="7">
        <v>3</v>
      </c>
      <c r="AO20" s="9" t="s">
        <v>55</v>
      </c>
      <c r="AP20" s="9" t="s">
        <v>588</v>
      </c>
      <c r="AQ20" s="7"/>
      <c r="AR20" s="7"/>
      <c r="AT20" s="7"/>
      <c r="AU20" s="7">
        <v>3</v>
      </c>
      <c r="AV20" s="9" t="s">
        <v>722</v>
      </c>
      <c r="AW20" s="9" t="s">
        <v>543</v>
      </c>
      <c r="AX20" s="7"/>
      <c r="AY20" s="7"/>
      <c r="BA20" s="7"/>
      <c r="BB20" s="7">
        <v>3</v>
      </c>
      <c r="BC20" s="9" t="s">
        <v>567</v>
      </c>
      <c r="BD20" s="9" t="s">
        <v>77</v>
      </c>
      <c r="BE20" s="7"/>
      <c r="BF20" s="9"/>
      <c r="BH20" s="7"/>
      <c r="BI20" s="7">
        <v>3</v>
      </c>
      <c r="BJ20" s="9" t="s">
        <v>543</v>
      </c>
      <c r="BK20" s="9" t="s">
        <v>62</v>
      </c>
      <c r="BL20" s="7"/>
      <c r="BM20" s="7"/>
      <c r="BN20" s="7"/>
      <c r="BO20" s="7"/>
      <c r="BQ20" s="7"/>
      <c r="BR20" s="7">
        <v>3</v>
      </c>
      <c r="BS20" s="9" t="s">
        <v>75</v>
      </c>
      <c r="BT20" s="9" t="s">
        <v>62</v>
      </c>
      <c r="BU20" s="7"/>
      <c r="BV20" s="7"/>
      <c r="BX20" s="7"/>
      <c r="BY20" s="7">
        <v>3</v>
      </c>
      <c r="BZ20" s="9" t="s">
        <v>147</v>
      </c>
      <c r="CA20" s="9" t="s">
        <v>722</v>
      </c>
      <c r="CB20" s="7"/>
      <c r="CC20" s="7"/>
      <c r="CD20" s="7"/>
      <c r="CE20" s="7"/>
      <c r="CF20" s="7"/>
      <c r="CH20" s="7"/>
      <c r="CI20" s="7">
        <v>3</v>
      </c>
      <c r="CJ20" s="9"/>
      <c r="CK20" s="9"/>
      <c r="CL20" s="7"/>
      <c r="CM20" s="7"/>
      <c r="CO20" s="38"/>
      <c r="CP20" s="38">
        <v>3</v>
      </c>
      <c r="CQ20" s="41"/>
      <c r="CR20" s="41"/>
      <c r="CS20" s="38"/>
      <c r="CT20" s="38"/>
    </row>
    <row r="21" spans="1:98">
      <c r="A21" s="7"/>
      <c r="B21" s="7"/>
      <c r="C21" s="9">
        <v>1</v>
      </c>
      <c r="D21" s="9">
        <v>0</v>
      </c>
      <c r="E21" s="9"/>
      <c r="F21" s="7"/>
      <c r="G21" s="7"/>
      <c r="H21" s="7"/>
      <c r="I21" s="7"/>
      <c r="J21" s="7"/>
      <c r="L21" s="7"/>
      <c r="M21" s="7"/>
      <c r="N21" s="9">
        <v>1</v>
      </c>
      <c r="O21" s="9">
        <v>0</v>
      </c>
      <c r="P21" s="9"/>
      <c r="Q21" s="7"/>
      <c r="R21" s="7"/>
      <c r="S21" s="7"/>
      <c r="U21" s="7"/>
      <c r="V21" s="7"/>
      <c r="W21" s="9">
        <v>0</v>
      </c>
      <c r="X21" s="9">
        <v>2</v>
      </c>
      <c r="Y21" s="9"/>
      <c r="Z21" s="9"/>
      <c r="AA21" s="9"/>
      <c r="AB21" s="7"/>
      <c r="AD21" s="7"/>
      <c r="AE21" s="7"/>
      <c r="AF21" s="9">
        <v>1</v>
      </c>
      <c r="AG21" s="9">
        <v>0</v>
      </c>
      <c r="AH21" s="9"/>
      <c r="AI21" s="7"/>
      <c r="AJ21" s="7"/>
      <c r="AK21" s="7"/>
      <c r="AM21" s="7"/>
      <c r="AN21" s="7"/>
      <c r="AO21" s="9">
        <v>0</v>
      </c>
      <c r="AP21" s="9">
        <v>2</v>
      </c>
      <c r="AQ21" s="9"/>
      <c r="AR21" s="7"/>
      <c r="AT21" s="7"/>
      <c r="AU21" s="7"/>
      <c r="AV21" s="9">
        <v>0</v>
      </c>
      <c r="AW21" s="9">
        <v>3</v>
      </c>
      <c r="AX21" s="9"/>
      <c r="AY21" s="7"/>
      <c r="BA21" s="7"/>
      <c r="BB21" s="7"/>
      <c r="BC21" s="9">
        <v>1</v>
      </c>
      <c r="BD21" s="9">
        <v>0</v>
      </c>
      <c r="BE21" s="9"/>
      <c r="BF21" s="9"/>
      <c r="BH21" s="7"/>
      <c r="BI21" s="7"/>
      <c r="BJ21" s="9">
        <v>3</v>
      </c>
      <c r="BK21" s="9">
        <v>0</v>
      </c>
      <c r="BL21" s="9"/>
      <c r="BM21" s="9"/>
      <c r="BN21" s="9"/>
      <c r="BO21" s="7"/>
      <c r="BQ21" s="7"/>
      <c r="BR21" s="7"/>
      <c r="BS21" s="9">
        <v>2</v>
      </c>
      <c r="BT21" s="9">
        <v>0</v>
      </c>
      <c r="BU21" s="9"/>
      <c r="BV21" s="7"/>
      <c r="BX21" s="7"/>
      <c r="BY21" s="7"/>
      <c r="BZ21" s="9">
        <v>3</v>
      </c>
      <c r="CA21" s="9">
        <v>0</v>
      </c>
      <c r="CB21" s="9"/>
      <c r="CC21" s="7"/>
      <c r="CD21" s="7"/>
      <c r="CE21" s="7"/>
      <c r="CF21" s="7"/>
      <c r="CH21" s="7"/>
      <c r="CI21" s="7"/>
      <c r="CJ21" s="9"/>
      <c r="CK21" s="9"/>
      <c r="CL21" s="9"/>
      <c r="CM21" s="7"/>
      <c r="CO21" s="38"/>
      <c r="CP21" s="38"/>
      <c r="CQ21" s="41"/>
      <c r="CR21" s="41"/>
      <c r="CS21" s="41"/>
      <c r="CT21" s="38"/>
    </row>
    <row r="22" spans="1:98">
      <c r="A22" s="7" t="s">
        <v>108</v>
      </c>
      <c r="B22" s="7">
        <v>4</v>
      </c>
      <c r="C22" s="9" t="s">
        <v>112</v>
      </c>
      <c r="D22" s="9" t="s">
        <v>50</v>
      </c>
      <c r="E22" s="9"/>
      <c r="F22" s="7"/>
      <c r="G22" s="7"/>
      <c r="H22" s="7"/>
      <c r="I22" s="7"/>
      <c r="J22" s="7"/>
      <c r="L22" s="7" t="s">
        <v>200</v>
      </c>
      <c r="M22" s="7">
        <v>4</v>
      </c>
      <c r="N22" s="9" t="s">
        <v>41</v>
      </c>
      <c r="O22" s="9" t="s">
        <v>567</v>
      </c>
      <c r="P22" s="9"/>
      <c r="Q22" s="7"/>
      <c r="R22" s="7"/>
      <c r="S22" s="7"/>
      <c r="U22" s="7"/>
      <c r="V22" s="7">
        <v>4</v>
      </c>
      <c r="W22" s="9" t="s">
        <v>118</v>
      </c>
      <c r="X22" s="9" t="s">
        <v>82</v>
      </c>
      <c r="Y22" s="9"/>
      <c r="Z22" s="9"/>
      <c r="AA22" s="9"/>
      <c r="AB22" s="7"/>
      <c r="AD22" s="7" t="s">
        <v>220</v>
      </c>
      <c r="AE22" s="7">
        <v>4</v>
      </c>
      <c r="AF22" s="9" t="s">
        <v>577</v>
      </c>
      <c r="AG22" s="9" t="s">
        <v>531</v>
      </c>
      <c r="AH22" s="9"/>
      <c r="AI22" s="7"/>
      <c r="AJ22" s="7"/>
      <c r="AK22" s="7"/>
      <c r="AM22" s="7"/>
      <c r="AN22" s="7">
        <v>4</v>
      </c>
      <c r="AO22" s="9" t="s">
        <v>39</v>
      </c>
      <c r="AP22" s="9" t="s">
        <v>723</v>
      </c>
      <c r="AQ22" s="9"/>
      <c r="AR22" s="7"/>
      <c r="AT22" s="7" t="s">
        <v>200</v>
      </c>
      <c r="AU22" s="7">
        <v>4</v>
      </c>
      <c r="AV22" s="9" t="s">
        <v>577</v>
      </c>
      <c r="AW22" s="9" t="s">
        <v>82</v>
      </c>
      <c r="AX22" s="9"/>
      <c r="AY22" s="7"/>
      <c r="BA22" s="7" t="s">
        <v>642</v>
      </c>
      <c r="BB22" s="7">
        <v>4</v>
      </c>
      <c r="BC22" s="9" t="s">
        <v>10</v>
      </c>
      <c r="BD22" s="9" t="s">
        <v>15</v>
      </c>
      <c r="BE22" s="9" t="s">
        <v>326</v>
      </c>
      <c r="BF22" s="9" t="s">
        <v>543</v>
      </c>
      <c r="BH22" s="7" t="s">
        <v>307</v>
      </c>
      <c r="BI22" s="7">
        <v>4</v>
      </c>
      <c r="BJ22" s="9" t="s">
        <v>546</v>
      </c>
      <c r="BK22" s="9" t="s">
        <v>41</v>
      </c>
      <c r="BL22" s="9"/>
      <c r="BM22" s="9"/>
      <c r="BN22" s="9"/>
      <c r="BO22" s="7"/>
      <c r="BQ22" s="7" t="s">
        <v>157</v>
      </c>
      <c r="BR22" s="7">
        <v>4</v>
      </c>
      <c r="BS22" s="9" t="s">
        <v>801</v>
      </c>
      <c r="BT22" s="9" t="s">
        <v>577</v>
      </c>
      <c r="BU22" s="9"/>
      <c r="BV22" s="7"/>
      <c r="BX22" s="7"/>
      <c r="BY22" s="7">
        <v>4</v>
      </c>
      <c r="BZ22" s="9" t="s">
        <v>166</v>
      </c>
      <c r="CA22" s="9" t="s">
        <v>532</v>
      </c>
      <c r="CB22" s="9"/>
      <c r="CC22" s="7"/>
      <c r="CD22" s="7"/>
      <c r="CE22" s="7"/>
      <c r="CF22" s="7"/>
      <c r="CH22" s="7"/>
      <c r="CI22" s="7">
        <v>4</v>
      </c>
      <c r="CJ22" s="9"/>
      <c r="CK22" s="9"/>
      <c r="CL22" s="9"/>
      <c r="CM22" s="7"/>
      <c r="CO22" s="38"/>
      <c r="CP22" s="38">
        <v>4</v>
      </c>
      <c r="CQ22" s="41"/>
      <c r="CR22" s="41"/>
      <c r="CS22" s="41"/>
      <c r="CT22" s="38"/>
    </row>
    <row r="23" spans="1:98">
      <c r="A23" s="134" t="s">
        <v>725</v>
      </c>
      <c r="B23" s="7"/>
      <c r="C23" s="9">
        <v>3</v>
      </c>
      <c r="D23" s="9">
        <v>0</v>
      </c>
      <c r="E23" s="9"/>
      <c r="F23" s="7"/>
      <c r="G23" s="7"/>
      <c r="H23" s="7"/>
      <c r="I23" s="7"/>
      <c r="J23" s="7"/>
      <c r="L23" s="7" t="s">
        <v>736</v>
      </c>
      <c r="M23" s="7"/>
      <c r="N23" s="9">
        <v>0</v>
      </c>
      <c r="O23" s="9">
        <v>0</v>
      </c>
      <c r="P23" s="9"/>
      <c r="Q23" s="7"/>
      <c r="R23" s="7"/>
      <c r="S23" s="7"/>
      <c r="U23" s="7"/>
      <c r="V23" s="7"/>
      <c r="W23" s="9">
        <v>1</v>
      </c>
      <c r="X23" s="9">
        <v>0</v>
      </c>
      <c r="Y23" s="9"/>
      <c r="Z23" s="9"/>
      <c r="AA23" s="9"/>
      <c r="AB23" s="7"/>
      <c r="AD23" s="7"/>
      <c r="AE23" s="7"/>
      <c r="AF23" s="9">
        <v>1</v>
      </c>
      <c r="AG23" s="9">
        <v>0</v>
      </c>
      <c r="AH23" s="9"/>
      <c r="AI23" s="7"/>
      <c r="AJ23" s="7"/>
      <c r="AK23" s="7"/>
      <c r="AM23" s="7"/>
      <c r="AN23" s="7"/>
      <c r="AO23" s="9">
        <v>0</v>
      </c>
      <c r="AP23" s="9">
        <v>1</v>
      </c>
      <c r="AQ23" s="9"/>
      <c r="AR23" s="7"/>
      <c r="AT23" s="7" t="s">
        <v>777</v>
      </c>
      <c r="AU23" s="7"/>
      <c r="AV23" s="9">
        <v>3</v>
      </c>
      <c r="AW23" s="9">
        <v>0</v>
      </c>
      <c r="AX23" s="9"/>
      <c r="AY23" s="7"/>
      <c r="BA23" s="7"/>
      <c r="BB23" s="7"/>
      <c r="BC23" s="9">
        <v>0</v>
      </c>
      <c r="BD23" s="9">
        <v>0</v>
      </c>
      <c r="BE23" s="9">
        <v>0</v>
      </c>
      <c r="BF23" s="9">
        <v>1</v>
      </c>
      <c r="BH23" s="7"/>
      <c r="BI23" s="7"/>
      <c r="BJ23" s="9">
        <v>2</v>
      </c>
      <c r="BK23" s="9">
        <v>0</v>
      </c>
      <c r="BL23" s="9"/>
      <c r="BM23" s="9"/>
      <c r="BN23" s="9"/>
      <c r="BO23" s="7"/>
      <c r="BQ23" s="7"/>
      <c r="BR23" s="7"/>
      <c r="BS23" s="9">
        <v>0</v>
      </c>
      <c r="BT23" s="9">
        <v>1</v>
      </c>
      <c r="BU23" s="9"/>
      <c r="BV23" s="7"/>
      <c r="BX23" s="7"/>
      <c r="BY23" s="7"/>
      <c r="BZ23" s="9">
        <v>2</v>
      </c>
      <c r="CA23" s="9">
        <v>0</v>
      </c>
      <c r="CB23" s="9"/>
      <c r="CC23" s="7"/>
      <c r="CD23" s="7"/>
      <c r="CE23" s="7"/>
      <c r="CF23" s="7"/>
      <c r="CH23" s="7"/>
      <c r="CI23" s="7"/>
      <c r="CJ23" s="9"/>
      <c r="CK23" s="9"/>
      <c r="CL23" s="9"/>
      <c r="CM23" s="7"/>
      <c r="CO23" s="38"/>
      <c r="CP23" s="38"/>
      <c r="CQ23" s="41"/>
      <c r="CR23" s="41"/>
      <c r="CS23" s="41"/>
      <c r="CT23" s="38"/>
    </row>
    <row r="24" spans="1:98">
      <c r="A24" s="7" t="s">
        <v>157</v>
      </c>
      <c r="B24" s="7">
        <v>5</v>
      </c>
      <c r="C24" s="9" t="s">
        <v>124</v>
      </c>
      <c r="D24" s="9" t="s">
        <v>16</v>
      </c>
      <c r="E24" s="9"/>
      <c r="F24" s="7"/>
      <c r="G24" s="7"/>
      <c r="H24" s="7"/>
      <c r="I24" s="7"/>
      <c r="J24" s="7"/>
      <c r="L24" s="7"/>
      <c r="M24" s="7">
        <v>5</v>
      </c>
      <c r="N24" s="9" t="s">
        <v>118</v>
      </c>
      <c r="O24" s="9" t="s">
        <v>37</v>
      </c>
      <c r="P24" s="9"/>
      <c r="Q24" s="7"/>
      <c r="R24" s="7"/>
      <c r="S24" s="7"/>
      <c r="U24" s="7" t="s">
        <v>200</v>
      </c>
      <c r="V24" s="7">
        <v>5</v>
      </c>
      <c r="W24" s="9" t="s">
        <v>75</v>
      </c>
      <c r="X24" s="9" t="s">
        <v>2</v>
      </c>
      <c r="Y24" s="9"/>
      <c r="Z24" s="9"/>
      <c r="AA24" s="9"/>
      <c r="AB24" s="7"/>
      <c r="AD24" s="7" t="s">
        <v>157</v>
      </c>
      <c r="AE24" s="7">
        <v>5</v>
      </c>
      <c r="AF24" s="9" t="s">
        <v>41</v>
      </c>
      <c r="AG24" s="9" t="s">
        <v>546</v>
      </c>
      <c r="AH24" s="9"/>
      <c r="AI24" s="7"/>
      <c r="AJ24" s="7"/>
      <c r="AK24" s="7"/>
      <c r="AM24" s="7" t="s">
        <v>157</v>
      </c>
      <c r="AN24" s="7">
        <v>5</v>
      </c>
      <c r="AO24" s="9" t="s">
        <v>1</v>
      </c>
      <c r="AP24" s="9" t="s">
        <v>547</v>
      </c>
      <c r="AQ24" s="9"/>
      <c r="AR24" s="7"/>
      <c r="AT24" s="7"/>
      <c r="AU24" s="7">
        <v>5</v>
      </c>
      <c r="AV24" s="9" t="s">
        <v>123</v>
      </c>
      <c r="AW24" s="9" t="s">
        <v>84</v>
      </c>
      <c r="AX24" s="9"/>
      <c r="AY24" s="7"/>
      <c r="BA24" s="7" t="s">
        <v>643</v>
      </c>
      <c r="BB24" s="7">
        <v>5</v>
      </c>
      <c r="BC24" s="9" t="s">
        <v>203</v>
      </c>
      <c r="BD24" s="9" t="s">
        <v>722</v>
      </c>
      <c r="BE24" s="9" t="s">
        <v>23</v>
      </c>
      <c r="BF24" s="9" t="s">
        <v>41</v>
      </c>
      <c r="BH24" s="7" t="s">
        <v>309</v>
      </c>
      <c r="BI24" s="7">
        <v>5</v>
      </c>
      <c r="BJ24" s="9" t="s">
        <v>143</v>
      </c>
      <c r="BK24" s="9" t="s">
        <v>66</v>
      </c>
      <c r="BL24" s="9"/>
      <c r="BM24" s="9"/>
      <c r="BN24" s="9"/>
      <c r="BO24" s="7"/>
      <c r="BQ24" s="7"/>
      <c r="BR24" s="7">
        <v>5</v>
      </c>
      <c r="BS24" s="9" t="s">
        <v>3</v>
      </c>
      <c r="BT24" s="9" t="s">
        <v>143</v>
      </c>
      <c r="BU24" s="9"/>
      <c r="BV24" s="7"/>
      <c r="BX24" s="7"/>
      <c r="BY24" s="7">
        <v>5</v>
      </c>
      <c r="BZ24" s="9" t="s">
        <v>143</v>
      </c>
      <c r="CA24" s="9" t="s">
        <v>3</v>
      </c>
      <c r="CB24" s="9"/>
      <c r="CC24" s="7"/>
      <c r="CD24" s="7"/>
      <c r="CE24" s="7"/>
      <c r="CF24" s="7"/>
      <c r="CH24" s="7"/>
      <c r="CI24" s="7">
        <v>5</v>
      </c>
      <c r="CJ24" s="9"/>
      <c r="CK24" s="9"/>
      <c r="CL24" s="9"/>
      <c r="CM24" s="7"/>
      <c r="CO24" s="38"/>
      <c r="CP24" s="38">
        <v>5</v>
      </c>
      <c r="CQ24" s="41"/>
      <c r="CR24" s="41"/>
      <c r="CS24" s="41"/>
      <c r="CT24" s="38"/>
    </row>
    <row r="25" spans="1:98">
      <c r="A25" s="7"/>
      <c r="B25" s="7"/>
      <c r="C25" s="9">
        <v>1</v>
      </c>
      <c r="D25" s="9">
        <v>0</v>
      </c>
      <c r="E25" s="9"/>
      <c r="F25" s="7"/>
      <c r="G25" s="7"/>
      <c r="H25" s="7"/>
      <c r="I25" s="7"/>
      <c r="J25" s="7"/>
      <c r="L25" s="7"/>
      <c r="M25" s="7"/>
      <c r="N25" s="9">
        <v>2</v>
      </c>
      <c r="O25" s="9">
        <v>0</v>
      </c>
      <c r="P25" s="9"/>
      <c r="Q25" s="7"/>
      <c r="R25" s="7"/>
      <c r="S25" s="7"/>
      <c r="U25" s="7" t="s">
        <v>674</v>
      </c>
      <c r="V25" s="7"/>
      <c r="W25" s="9">
        <v>2</v>
      </c>
      <c r="X25" s="9">
        <v>0</v>
      </c>
      <c r="Y25" s="9"/>
      <c r="Z25" s="9"/>
      <c r="AA25" s="9"/>
      <c r="AB25" s="7"/>
      <c r="AD25" s="7"/>
      <c r="AE25" s="7"/>
      <c r="AF25" s="9">
        <v>0</v>
      </c>
      <c r="AG25" s="9">
        <v>1</v>
      </c>
      <c r="AH25" s="9"/>
      <c r="AI25" s="7"/>
      <c r="AJ25" s="7"/>
      <c r="AK25" s="7"/>
      <c r="AM25" s="7"/>
      <c r="AN25" s="7"/>
      <c r="AO25" s="9">
        <v>0</v>
      </c>
      <c r="AP25" s="9">
        <v>2</v>
      </c>
      <c r="AQ25" s="9"/>
      <c r="AR25" s="7"/>
      <c r="AT25" s="7"/>
      <c r="AU25" s="7"/>
      <c r="AV25" s="9">
        <v>2</v>
      </c>
      <c r="AW25" s="9">
        <v>0</v>
      </c>
      <c r="AX25" s="9"/>
      <c r="AY25" s="7"/>
      <c r="BA25" s="7"/>
      <c r="BB25" s="7"/>
      <c r="BC25" s="9">
        <v>1</v>
      </c>
      <c r="BD25" s="9">
        <v>0</v>
      </c>
      <c r="BE25" s="9">
        <v>0</v>
      </c>
      <c r="BF25" s="9">
        <v>0</v>
      </c>
      <c r="BH25" s="7"/>
      <c r="BI25" s="7"/>
      <c r="BJ25" s="9">
        <v>3</v>
      </c>
      <c r="BK25" s="9">
        <v>0</v>
      </c>
      <c r="BL25" s="9"/>
      <c r="BM25" s="9"/>
      <c r="BN25" s="9"/>
      <c r="BO25" s="7"/>
      <c r="BQ25" s="7"/>
      <c r="BR25" s="7"/>
      <c r="BS25" s="9">
        <v>0</v>
      </c>
      <c r="BT25" s="9">
        <v>1</v>
      </c>
      <c r="BU25" s="9"/>
      <c r="BV25" s="7"/>
      <c r="BX25" s="7"/>
      <c r="BY25" s="7"/>
      <c r="BZ25" s="9">
        <v>1</v>
      </c>
      <c r="CA25" s="9">
        <v>0</v>
      </c>
      <c r="CB25" s="9"/>
      <c r="CC25" s="7"/>
      <c r="CD25" s="7"/>
      <c r="CE25" s="7"/>
      <c r="CF25" s="7"/>
      <c r="CH25" s="7"/>
      <c r="CI25" s="7"/>
      <c r="CJ25" s="9"/>
      <c r="CK25" s="9"/>
      <c r="CL25" s="9"/>
      <c r="CM25" s="7"/>
      <c r="CO25" s="38"/>
      <c r="CP25" s="38"/>
      <c r="CQ25" s="41"/>
      <c r="CR25" s="41"/>
      <c r="CS25" s="41"/>
      <c r="CT25" s="38"/>
    </row>
    <row r="26" spans="1:98">
      <c r="CO26" s="32"/>
      <c r="CP26" s="32"/>
      <c r="CQ26" s="32"/>
      <c r="CR26" s="32"/>
      <c r="CS26" s="32"/>
      <c r="CT26" s="32"/>
    </row>
    <row r="27" spans="1:98" ht="21">
      <c r="A27" s="90"/>
      <c r="B27" s="91" t="s">
        <v>429</v>
      </c>
      <c r="C27" s="128" t="s">
        <v>452</v>
      </c>
      <c r="D27" s="92"/>
      <c r="E27" s="90"/>
      <c r="F27" s="90"/>
      <c r="G27" s="90"/>
      <c r="H27" s="90"/>
      <c r="I27" s="90"/>
      <c r="J27" s="90"/>
      <c r="L27" s="90"/>
      <c r="M27" s="91" t="s">
        <v>429</v>
      </c>
      <c r="N27" s="128" t="s">
        <v>459</v>
      </c>
      <c r="O27" s="92"/>
      <c r="P27" s="90"/>
      <c r="Q27" s="90"/>
      <c r="R27" s="90"/>
      <c r="S27" s="90"/>
      <c r="U27" s="90"/>
      <c r="V27" s="91" t="s">
        <v>429</v>
      </c>
      <c r="W27" s="128" t="s">
        <v>239</v>
      </c>
      <c r="X27" s="92"/>
      <c r="Y27" s="90"/>
      <c r="Z27" s="90"/>
      <c r="AA27" s="90"/>
      <c r="AB27" s="90"/>
      <c r="AD27" s="90"/>
      <c r="AE27" s="91" t="s">
        <v>429</v>
      </c>
      <c r="AF27" s="128" t="s">
        <v>161</v>
      </c>
      <c r="AG27" s="92"/>
      <c r="AH27" s="90"/>
      <c r="AI27" s="90"/>
      <c r="AJ27" s="90"/>
      <c r="AK27" s="90"/>
      <c r="AM27" s="90"/>
      <c r="AN27" s="91" t="s">
        <v>429</v>
      </c>
      <c r="AO27" s="128" t="s">
        <v>214</v>
      </c>
      <c r="AP27" s="92"/>
      <c r="AQ27" s="90"/>
      <c r="AR27" s="90"/>
      <c r="AT27" s="90"/>
      <c r="AU27" s="91" t="s">
        <v>429</v>
      </c>
      <c r="AV27" s="128" t="s">
        <v>471</v>
      </c>
      <c r="AW27" s="92"/>
      <c r="AX27" s="90"/>
      <c r="AY27" s="90"/>
      <c r="BA27" s="90"/>
      <c r="BB27" s="91" t="s">
        <v>429</v>
      </c>
      <c r="BC27" s="128" t="s">
        <v>479</v>
      </c>
      <c r="BD27" s="92"/>
      <c r="BE27" s="90"/>
      <c r="BF27" s="92"/>
      <c r="BH27" s="90"/>
      <c r="BI27" s="91" t="s">
        <v>429</v>
      </c>
      <c r="BJ27" s="128" t="s">
        <v>134</v>
      </c>
      <c r="BK27" s="92"/>
      <c r="BL27" s="90"/>
      <c r="BM27" s="90"/>
      <c r="BN27" s="90"/>
      <c r="BO27" s="90"/>
      <c r="BQ27" s="90"/>
      <c r="BR27" s="91" t="s">
        <v>429</v>
      </c>
      <c r="BS27" s="128" t="s">
        <v>493</v>
      </c>
      <c r="BT27" s="92"/>
      <c r="BU27" s="90"/>
      <c r="BV27" s="90"/>
      <c r="BX27" s="90"/>
      <c r="BY27" s="91" t="s">
        <v>429</v>
      </c>
      <c r="BZ27" s="128" t="s">
        <v>499</v>
      </c>
      <c r="CA27" s="92"/>
      <c r="CB27" s="90"/>
      <c r="CC27" s="90"/>
      <c r="CD27" s="90"/>
      <c r="CE27" s="90"/>
      <c r="CF27" s="90"/>
      <c r="CH27" s="90"/>
      <c r="CI27" s="91" t="s">
        <v>429</v>
      </c>
      <c r="CJ27" s="128" t="s">
        <v>213</v>
      </c>
      <c r="CK27" s="92"/>
      <c r="CL27" s="90"/>
      <c r="CM27" s="90"/>
      <c r="CO27" s="93"/>
      <c r="CP27" s="94" t="s">
        <v>429</v>
      </c>
      <c r="CQ27" s="133" t="s">
        <v>238</v>
      </c>
      <c r="CR27" s="96"/>
      <c r="CS27" s="93"/>
      <c r="CT27" s="93"/>
    </row>
    <row r="28" spans="1:98">
      <c r="A28" s="90"/>
      <c r="B28" s="90">
        <v>1</v>
      </c>
      <c r="C28" s="92" t="s">
        <v>44</v>
      </c>
      <c r="D28" s="92" t="s">
        <v>894</v>
      </c>
      <c r="E28" s="92"/>
      <c r="F28" s="90"/>
      <c r="G28" s="90"/>
      <c r="H28" s="90"/>
      <c r="I28" s="90"/>
      <c r="J28" s="90"/>
      <c r="L28" s="90"/>
      <c r="M28" s="90">
        <v>1</v>
      </c>
      <c r="N28" s="92" t="s">
        <v>18</v>
      </c>
      <c r="O28" s="92" t="s">
        <v>585</v>
      </c>
      <c r="P28" s="92"/>
      <c r="Q28" s="90"/>
      <c r="R28" s="90"/>
      <c r="S28" s="90"/>
      <c r="U28" s="90"/>
      <c r="V28" s="90">
        <v>1</v>
      </c>
      <c r="W28" s="92" t="s">
        <v>533</v>
      </c>
      <c r="X28" s="92" t="s">
        <v>566</v>
      </c>
      <c r="Y28" s="92"/>
      <c r="Z28" s="92"/>
      <c r="AA28" s="92"/>
      <c r="AB28" s="90"/>
      <c r="AD28" s="90" t="s">
        <v>749</v>
      </c>
      <c r="AE28" s="90">
        <v>1</v>
      </c>
      <c r="AF28" s="92" t="s">
        <v>18</v>
      </c>
      <c r="AG28" s="92" t="s">
        <v>750</v>
      </c>
      <c r="AH28" s="92"/>
      <c r="AI28" s="90"/>
      <c r="AJ28" s="90"/>
      <c r="AK28" s="90"/>
      <c r="AM28" s="90"/>
      <c r="AN28" s="90">
        <v>1</v>
      </c>
      <c r="AO28" s="92" t="s">
        <v>290</v>
      </c>
      <c r="AP28" s="92" t="s">
        <v>589</v>
      </c>
      <c r="AQ28" s="92"/>
      <c r="AR28" s="90"/>
      <c r="AT28" s="90"/>
      <c r="AU28" s="90">
        <v>1</v>
      </c>
      <c r="AV28" s="92" t="s">
        <v>584</v>
      </c>
      <c r="AW28" s="92" t="s">
        <v>58</v>
      </c>
      <c r="AX28" s="92"/>
      <c r="AY28" s="90"/>
      <c r="BA28" s="90"/>
      <c r="BB28" s="90">
        <v>1</v>
      </c>
      <c r="BC28" s="92" t="s">
        <v>138</v>
      </c>
      <c r="BD28" s="92" t="s">
        <v>43</v>
      </c>
      <c r="BE28" s="92"/>
      <c r="BF28" s="92"/>
      <c r="BH28" s="90"/>
      <c r="BI28" s="90">
        <v>1</v>
      </c>
      <c r="BJ28" s="92" t="s">
        <v>58</v>
      </c>
      <c r="BK28" s="92" t="s">
        <v>580</v>
      </c>
      <c r="BL28" s="92"/>
      <c r="BM28" s="92"/>
      <c r="BN28" s="92"/>
      <c r="BO28" s="90"/>
      <c r="BQ28" s="90"/>
      <c r="BR28" s="90">
        <v>1</v>
      </c>
      <c r="BS28" s="92" t="s">
        <v>122</v>
      </c>
      <c r="BT28" s="92" t="s">
        <v>6</v>
      </c>
      <c r="BU28" s="92"/>
      <c r="BV28" s="90"/>
      <c r="BX28" s="90"/>
      <c r="BY28" s="90">
        <v>1</v>
      </c>
      <c r="BZ28" s="92" t="s">
        <v>548</v>
      </c>
      <c r="CA28" s="92" t="s">
        <v>43</v>
      </c>
      <c r="CB28" s="92"/>
      <c r="CC28" s="90"/>
      <c r="CD28" s="90"/>
      <c r="CE28" s="90"/>
      <c r="CF28" s="90"/>
      <c r="CH28" s="90"/>
      <c r="CI28" s="90">
        <v>1</v>
      </c>
      <c r="CJ28" s="92"/>
      <c r="CK28" s="92"/>
      <c r="CL28" s="92"/>
      <c r="CM28" s="90"/>
      <c r="CO28" s="93"/>
      <c r="CP28" s="93">
        <v>1</v>
      </c>
      <c r="CQ28" s="96"/>
      <c r="CR28" s="96"/>
      <c r="CS28" s="96"/>
      <c r="CT28" s="93"/>
    </row>
    <row r="29" spans="1:98">
      <c r="A29" s="90"/>
      <c r="B29" s="90"/>
      <c r="C29" s="92">
        <v>0</v>
      </c>
      <c r="D29" s="92">
        <v>2</v>
      </c>
      <c r="E29" s="92"/>
      <c r="F29" s="90"/>
      <c r="G29" s="90"/>
      <c r="H29" s="90"/>
      <c r="I29" s="90"/>
      <c r="J29" s="90"/>
      <c r="L29" s="90"/>
      <c r="M29" s="90"/>
      <c r="N29" s="92">
        <v>0</v>
      </c>
      <c r="O29" s="92">
        <v>2</v>
      </c>
      <c r="P29" s="92"/>
      <c r="Q29" s="90"/>
      <c r="R29" s="90"/>
      <c r="S29" s="90"/>
      <c r="U29" s="90"/>
      <c r="V29" s="90"/>
      <c r="W29" s="92">
        <v>0</v>
      </c>
      <c r="X29" s="92">
        <v>2</v>
      </c>
      <c r="Y29" s="92"/>
      <c r="Z29" s="92"/>
      <c r="AA29" s="92"/>
      <c r="AB29" s="90"/>
      <c r="AD29" s="90"/>
      <c r="AE29" s="90"/>
      <c r="AF29" s="92">
        <v>0</v>
      </c>
      <c r="AG29" s="92">
        <v>3</v>
      </c>
      <c r="AH29" s="92"/>
      <c r="AI29" s="90"/>
      <c r="AJ29" s="90"/>
      <c r="AK29" s="90"/>
      <c r="AM29" s="90"/>
      <c r="AN29" s="90"/>
      <c r="AO29" s="92">
        <v>0</v>
      </c>
      <c r="AP29" s="92">
        <v>1</v>
      </c>
      <c r="AQ29" s="92"/>
      <c r="AR29" s="90"/>
      <c r="AT29" s="90"/>
      <c r="AU29" s="90"/>
      <c r="AV29" s="92">
        <v>1</v>
      </c>
      <c r="AW29" s="92">
        <v>0</v>
      </c>
      <c r="AX29" s="92"/>
      <c r="AY29" s="90"/>
      <c r="BA29" s="90"/>
      <c r="BB29" s="90"/>
      <c r="BC29" s="92">
        <v>2</v>
      </c>
      <c r="BD29" s="92">
        <v>0</v>
      </c>
      <c r="BE29" s="92"/>
      <c r="BF29" s="92"/>
      <c r="BH29" s="90"/>
      <c r="BI29" s="90"/>
      <c r="BJ29" s="92">
        <v>0</v>
      </c>
      <c r="BK29" s="92">
        <v>1</v>
      </c>
      <c r="BL29" s="92"/>
      <c r="BM29" s="92"/>
      <c r="BN29" s="92"/>
      <c r="BO29" s="90"/>
      <c r="BQ29" s="90"/>
      <c r="BR29" s="90"/>
      <c r="BS29" s="92">
        <v>3</v>
      </c>
      <c r="BT29" s="92">
        <v>0</v>
      </c>
      <c r="BU29" s="92"/>
      <c r="BV29" s="90"/>
      <c r="BX29" s="90"/>
      <c r="BY29" s="90"/>
      <c r="BZ29" s="92">
        <v>1</v>
      </c>
      <c r="CA29" s="92">
        <v>0</v>
      </c>
      <c r="CB29" s="92"/>
      <c r="CC29" s="90"/>
      <c r="CD29" s="90"/>
      <c r="CE29" s="90"/>
      <c r="CF29" s="90"/>
      <c r="CH29" s="90"/>
      <c r="CI29" s="90"/>
      <c r="CJ29" s="92"/>
      <c r="CK29" s="92"/>
      <c r="CL29" s="92"/>
      <c r="CM29" s="90"/>
      <c r="CO29" s="93"/>
      <c r="CP29" s="93"/>
      <c r="CQ29" s="96"/>
      <c r="CR29" s="96"/>
      <c r="CS29" s="96"/>
      <c r="CT29" s="93"/>
    </row>
    <row r="30" spans="1:98">
      <c r="A30" s="90"/>
      <c r="B30" s="90">
        <v>2</v>
      </c>
      <c r="C30" s="92" t="s">
        <v>722</v>
      </c>
      <c r="D30" s="92" t="s">
        <v>589</v>
      </c>
      <c r="E30" s="92"/>
      <c r="F30" s="90"/>
      <c r="G30" s="90"/>
      <c r="H30" s="90"/>
      <c r="I30" s="90"/>
      <c r="J30" s="90"/>
      <c r="L30" s="90"/>
      <c r="M30" s="90">
        <v>2</v>
      </c>
      <c r="N30" s="92" t="s">
        <v>123</v>
      </c>
      <c r="O30" s="92" t="s">
        <v>290</v>
      </c>
      <c r="P30" s="92"/>
      <c r="Q30" s="90"/>
      <c r="R30" s="90"/>
      <c r="S30" s="90"/>
      <c r="U30" s="90"/>
      <c r="V30" s="90">
        <v>2</v>
      </c>
      <c r="W30" s="92" t="s">
        <v>551</v>
      </c>
      <c r="X30" s="92" t="s">
        <v>9</v>
      </c>
      <c r="Y30" s="92"/>
      <c r="Z30" s="92"/>
      <c r="AA30" s="92"/>
      <c r="AB30" s="90"/>
      <c r="AD30" s="90"/>
      <c r="AE30" s="90">
        <v>2</v>
      </c>
      <c r="AF30" s="92" t="s">
        <v>5</v>
      </c>
      <c r="AG30" s="92" t="s">
        <v>72</v>
      </c>
      <c r="AH30" s="92"/>
      <c r="AI30" s="90"/>
      <c r="AJ30" s="90"/>
      <c r="AK30" s="90"/>
      <c r="AM30" s="90"/>
      <c r="AN30" s="90">
        <v>2</v>
      </c>
      <c r="AO30" s="92" t="s">
        <v>263</v>
      </c>
      <c r="AP30" s="92" t="s">
        <v>6</v>
      </c>
      <c r="AQ30" s="92"/>
      <c r="AR30" s="90"/>
      <c r="AT30" s="90"/>
      <c r="AU30" s="90">
        <v>2</v>
      </c>
      <c r="AV30" s="92" t="s">
        <v>45</v>
      </c>
      <c r="AW30" s="92" t="s">
        <v>111</v>
      </c>
      <c r="AX30" s="92"/>
      <c r="AY30" s="90"/>
      <c r="BA30" s="90"/>
      <c r="BB30" s="90">
        <v>2</v>
      </c>
      <c r="BC30" s="92" t="s">
        <v>550</v>
      </c>
      <c r="BD30" s="92" t="s">
        <v>22</v>
      </c>
      <c r="BE30" s="92"/>
      <c r="BF30" s="92"/>
      <c r="BH30" s="90"/>
      <c r="BI30" s="90">
        <v>2</v>
      </c>
      <c r="BJ30" s="92" t="s">
        <v>894</v>
      </c>
      <c r="BK30" s="92" t="s">
        <v>50</v>
      </c>
      <c r="BL30" s="92"/>
      <c r="BM30" s="92"/>
      <c r="BN30" s="92"/>
      <c r="BO30" s="90"/>
      <c r="BQ30" s="90"/>
      <c r="BR30" s="90">
        <v>2</v>
      </c>
      <c r="BS30" s="92" t="s">
        <v>61</v>
      </c>
      <c r="BT30" s="92" t="s">
        <v>169</v>
      </c>
      <c r="BU30" s="92"/>
      <c r="BV30" s="90"/>
      <c r="BX30" s="90"/>
      <c r="BY30" s="90">
        <v>2</v>
      </c>
      <c r="BZ30" s="92" t="s">
        <v>92</v>
      </c>
      <c r="CA30" s="92" t="s">
        <v>6</v>
      </c>
      <c r="CB30" s="92"/>
      <c r="CC30" s="90"/>
      <c r="CD30" s="90"/>
      <c r="CE30" s="90"/>
      <c r="CF30" s="90"/>
      <c r="CH30" s="90"/>
      <c r="CI30" s="90">
        <v>2</v>
      </c>
      <c r="CJ30" s="92"/>
      <c r="CK30" s="92"/>
      <c r="CL30" s="92"/>
      <c r="CM30" s="90"/>
      <c r="CO30" s="93"/>
      <c r="CP30" s="93">
        <v>2</v>
      </c>
      <c r="CQ30" s="96"/>
      <c r="CR30" s="96"/>
      <c r="CS30" s="96"/>
      <c r="CT30" s="93"/>
    </row>
    <row r="31" spans="1:98">
      <c r="A31" s="90"/>
      <c r="B31" s="90"/>
      <c r="C31" s="92">
        <v>0</v>
      </c>
      <c r="D31" s="92">
        <v>3</v>
      </c>
      <c r="E31" s="92"/>
      <c r="F31" s="90"/>
      <c r="G31" s="90"/>
      <c r="H31" s="90"/>
      <c r="I31" s="90"/>
      <c r="J31" s="90"/>
      <c r="L31" s="90"/>
      <c r="M31" s="90"/>
      <c r="N31" s="92">
        <v>2</v>
      </c>
      <c r="O31" s="92">
        <v>0</v>
      </c>
      <c r="P31" s="92"/>
      <c r="Q31" s="90"/>
      <c r="R31" s="90"/>
      <c r="S31" s="90"/>
      <c r="U31" s="90"/>
      <c r="V31" s="90"/>
      <c r="W31" s="92">
        <v>2</v>
      </c>
      <c r="X31" s="92">
        <v>0</v>
      </c>
      <c r="Y31" s="92"/>
      <c r="Z31" s="92"/>
      <c r="AA31" s="92"/>
      <c r="AB31" s="90"/>
      <c r="AD31" s="90"/>
      <c r="AE31" s="90"/>
      <c r="AF31" s="92">
        <v>0</v>
      </c>
      <c r="AG31" s="92">
        <v>2</v>
      </c>
      <c r="AH31" s="92"/>
      <c r="AI31" s="90"/>
      <c r="AJ31" s="90"/>
      <c r="AK31" s="90"/>
      <c r="AM31" s="90"/>
      <c r="AN31" s="90"/>
      <c r="AO31" s="92">
        <v>2</v>
      </c>
      <c r="AP31" s="92">
        <v>0</v>
      </c>
      <c r="AQ31" s="92"/>
      <c r="AR31" s="90"/>
      <c r="AT31" s="90"/>
      <c r="AU31" s="90"/>
      <c r="AV31" s="92">
        <v>0</v>
      </c>
      <c r="AW31" s="92">
        <v>1</v>
      </c>
      <c r="AX31" s="92"/>
      <c r="AY31" s="90"/>
      <c r="BA31" s="90"/>
      <c r="BB31" s="90"/>
      <c r="BC31" s="92">
        <v>2</v>
      </c>
      <c r="BD31" s="92">
        <v>0</v>
      </c>
      <c r="BE31" s="92"/>
      <c r="BF31" s="92"/>
      <c r="BH31" s="90"/>
      <c r="BI31" s="90"/>
      <c r="BJ31" s="92">
        <v>1</v>
      </c>
      <c r="BK31" s="92">
        <v>0</v>
      </c>
      <c r="BL31" s="92"/>
      <c r="BM31" s="92"/>
      <c r="BN31" s="92"/>
      <c r="BO31" s="90"/>
      <c r="BQ31" s="90"/>
      <c r="BR31" s="90"/>
      <c r="BS31" s="92">
        <v>0</v>
      </c>
      <c r="BT31" s="92">
        <v>1</v>
      </c>
      <c r="BU31" s="92"/>
      <c r="BV31" s="90"/>
      <c r="BX31" s="90"/>
      <c r="BY31" s="90"/>
      <c r="BZ31" s="92">
        <v>1</v>
      </c>
      <c r="CA31" s="92">
        <v>0</v>
      </c>
      <c r="CB31" s="92"/>
      <c r="CC31" s="90"/>
      <c r="CD31" s="90"/>
      <c r="CE31" s="90"/>
      <c r="CF31" s="90"/>
      <c r="CH31" s="90"/>
      <c r="CI31" s="90"/>
      <c r="CJ31" s="92"/>
      <c r="CK31" s="92"/>
      <c r="CL31" s="92"/>
      <c r="CM31" s="90"/>
      <c r="CO31" s="93"/>
      <c r="CP31" s="93"/>
      <c r="CQ31" s="96"/>
      <c r="CR31" s="96"/>
      <c r="CS31" s="96"/>
      <c r="CT31" s="93"/>
    </row>
    <row r="32" spans="1:98">
      <c r="A32" s="90"/>
      <c r="B32" s="90">
        <v>3</v>
      </c>
      <c r="C32" s="92" t="s">
        <v>5</v>
      </c>
      <c r="D32" s="92" t="s">
        <v>71</v>
      </c>
      <c r="E32" s="90"/>
      <c r="F32" s="90"/>
      <c r="G32" s="90"/>
      <c r="H32" s="90"/>
      <c r="I32" s="90"/>
      <c r="J32" s="90"/>
      <c r="L32" s="90"/>
      <c r="M32" s="90">
        <v>3</v>
      </c>
      <c r="N32" s="92" t="s">
        <v>8</v>
      </c>
      <c r="O32" s="92" t="s">
        <v>574</v>
      </c>
      <c r="P32" s="90"/>
      <c r="Q32" s="90"/>
      <c r="R32" s="90"/>
      <c r="S32" s="90"/>
      <c r="U32" s="90"/>
      <c r="V32" s="90">
        <v>3</v>
      </c>
      <c r="W32" s="92" t="s">
        <v>141</v>
      </c>
      <c r="X32" s="92" t="s">
        <v>6</v>
      </c>
      <c r="Y32" s="90"/>
      <c r="Z32" s="90"/>
      <c r="AA32" s="90"/>
      <c r="AB32" s="90"/>
      <c r="AD32" s="90" t="s">
        <v>220</v>
      </c>
      <c r="AE32" s="90">
        <v>3</v>
      </c>
      <c r="AF32" s="92" t="s">
        <v>584</v>
      </c>
      <c r="AG32" s="92" t="s">
        <v>43</v>
      </c>
      <c r="AH32" s="90"/>
      <c r="AI32" s="90"/>
      <c r="AJ32" s="90"/>
      <c r="AK32" s="90"/>
      <c r="AM32" s="90"/>
      <c r="AN32" s="90">
        <v>3</v>
      </c>
      <c r="AO32" s="92" t="s">
        <v>141</v>
      </c>
      <c r="AP32" s="92" t="s">
        <v>11</v>
      </c>
      <c r="AQ32" s="90"/>
      <c r="AR32" s="90"/>
      <c r="AT32" s="90"/>
      <c r="AU32" s="90">
        <v>3</v>
      </c>
      <c r="AV32" s="92" t="s">
        <v>88</v>
      </c>
      <c r="AW32" s="92" t="s">
        <v>40</v>
      </c>
      <c r="AX32" s="90"/>
      <c r="AY32" s="90"/>
      <c r="BA32" s="90"/>
      <c r="BB32" s="90">
        <v>3</v>
      </c>
      <c r="BC32" s="92" t="s">
        <v>195</v>
      </c>
      <c r="BD32" s="92" t="s">
        <v>50</v>
      </c>
      <c r="BE32" s="90"/>
      <c r="BF32" s="92"/>
      <c r="BH32" s="90"/>
      <c r="BI32" s="90">
        <v>3</v>
      </c>
      <c r="BJ32" s="92" t="s">
        <v>723</v>
      </c>
      <c r="BK32" s="92" t="s">
        <v>40</v>
      </c>
      <c r="BL32" s="90"/>
      <c r="BM32" s="90"/>
      <c r="BN32" s="90"/>
      <c r="BO32" s="90"/>
      <c r="BQ32" s="90" t="s">
        <v>592</v>
      </c>
      <c r="BR32" s="90">
        <v>3</v>
      </c>
      <c r="BS32" s="92" t="s">
        <v>550</v>
      </c>
      <c r="BT32" s="92" t="s">
        <v>22</v>
      </c>
      <c r="BU32" s="90"/>
      <c r="BV32" s="90"/>
      <c r="BX32" s="90"/>
      <c r="BY32" s="90">
        <v>3</v>
      </c>
      <c r="BZ32" s="92" t="s">
        <v>550</v>
      </c>
      <c r="CA32" s="92" t="s">
        <v>58</v>
      </c>
      <c r="CB32" s="90"/>
      <c r="CC32" s="90"/>
      <c r="CD32" s="90"/>
      <c r="CE32" s="90"/>
      <c r="CF32" s="90"/>
      <c r="CH32" s="90"/>
      <c r="CI32" s="90">
        <v>3</v>
      </c>
      <c r="CJ32" s="92"/>
      <c r="CK32" s="92"/>
      <c r="CL32" s="90"/>
      <c r="CM32" s="90"/>
      <c r="CO32" s="93"/>
      <c r="CP32" s="93">
        <v>3</v>
      </c>
      <c r="CQ32" s="96"/>
      <c r="CR32" s="96"/>
      <c r="CS32" s="93"/>
      <c r="CT32" s="93"/>
    </row>
    <row r="33" spans="1:98">
      <c r="A33" s="90"/>
      <c r="B33" s="90"/>
      <c r="C33" s="92">
        <v>0</v>
      </c>
      <c r="D33" s="92">
        <v>1</v>
      </c>
      <c r="E33" s="92"/>
      <c r="F33" s="90"/>
      <c r="G33" s="90"/>
      <c r="H33" s="90"/>
      <c r="I33" s="90"/>
      <c r="J33" s="90"/>
      <c r="L33" s="90"/>
      <c r="M33" s="90"/>
      <c r="N33" s="92">
        <v>0</v>
      </c>
      <c r="O33" s="92">
        <v>2</v>
      </c>
      <c r="P33" s="92"/>
      <c r="Q33" s="90"/>
      <c r="R33" s="90"/>
      <c r="S33" s="90"/>
      <c r="U33" s="90"/>
      <c r="V33" s="90"/>
      <c r="W33" s="92">
        <v>1</v>
      </c>
      <c r="X33" s="92">
        <v>0</v>
      </c>
      <c r="Y33" s="92"/>
      <c r="Z33" s="92"/>
      <c r="AA33" s="92"/>
      <c r="AB33" s="90"/>
      <c r="AD33" s="90"/>
      <c r="AE33" s="90"/>
      <c r="AF33" s="92">
        <v>1</v>
      </c>
      <c r="AG33" s="92">
        <v>0</v>
      </c>
      <c r="AH33" s="92"/>
      <c r="AI33" s="90"/>
      <c r="AJ33" s="90"/>
      <c r="AK33" s="90"/>
      <c r="AM33" s="90"/>
      <c r="AN33" s="90"/>
      <c r="AO33" s="92">
        <v>2</v>
      </c>
      <c r="AP33" s="92">
        <v>0</v>
      </c>
      <c r="AQ33" s="92"/>
      <c r="AR33" s="90"/>
      <c r="AT33" s="90"/>
      <c r="AU33" s="90"/>
      <c r="AV33" s="92">
        <v>1</v>
      </c>
      <c r="AW33" s="92">
        <v>0</v>
      </c>
      <c r="AX33" s="92"/>
      <c r="AY33" s="90"/>
      <c r="BA33" s="90"/>
      <c r="BB33" s="90"/>
      <c r="BC33" s="92">
        <v>1</v>
      </c>
      <c r="BD33" s="92">
        <v>0</v>
      </c>
      <c r="BE33" s="92"/>
      <c r="BF33" s="92"/>
      <c r="BH33" s="90"/>
      <c r="BI33" s="90"/>
      <c r="BJ33" s="92">
        <v>1</v>
      </c>
      <c r="BK33" s="92">
        <v>0</v>
      </c>
      <c r="BL33" s="92"/>
      <c r="BM33" s="92"/>
      <c r="BN33" s="92"/>
      <c r="BO33" s="90"/>
      <c r="BQ33" s="90"/>
      <c r="BR33" s="90"/>
      <c r="BS33" s="92">
        <v>0</v>
      </c>
      <c r="BT33" s="92">
        <v>0</v>
      </c>
      <c r="BU33" s="92"/>
      <c r="BV33" s="90"/>
      <c r="BX33" s="90"/>
      <c r="BY33" s="90"/>
      <c r="BZ33" s="92">
        <v>2</v>
      </c>
      <c r="CA33" s="92">
        <v>0</v>
      </c>
      <c r="CB33" s="92"/>
      <c r="CC33" s="90"/>
      <c r="CD33" s="90"/>
      <c r="CE33" s="90"/>
      <c r="CF33" s="90"/>
      <c r="CH33" s="90"/>
      <c r="CI33" s="90"/>
      <c r="CJ33" s="92"/>
      <c r="CK33" s="92"/>
      <c r="CL33" s="92"/>
      <c r="CM33" s="90"/>
      <c r="CO33" s="93"/>
      <c r="CP33" s="93"/>
      <c r="CQ33" s="96"/>
      <c r="CR33" s="96"/>
      <c r="CS33" s="96"/>
      <c r="CT33" s="93"/>
    </row>
    <row r="34" spans="1:98">
      <c r="A34" s="90" t="s">
        <v>554</v>
      </c>
      <c r="B34" s="90">
        <v>4</v>
      </c>
      <c r="C34" s="92" t="s">
        <v>19</v>
      </c>
      <c r="D34" s="92" t="s">
        <v>551</v>
      </c>
      <c r="E34" s="92"/>
      <c r="F34" s="90"/>
      <c r="G34" s="90"/>
      <c r="H34" s="90"/>
      <c r="I34" s="90"/>
      <c r="J34" s="90"/>
      <c r="L34" s="90"/>
      <c r="M34" s="90">
        <v>4</v>
      </c>
      <c r="N34" s="92" t="s">
        <v>65</v>
      </c>
      <c r="O34" s="92" t="s">
        <v>566</v>
      </c>
      <c r="P34" s="92"/>
      <c r="Q34" s="90"/>
      <c r="R34" s="90"/>
      <c r="S34" s="90"/>
      <c r="U34" s="90"/>
      <c r="V34" s="90">
        <v>4</v>
      </c>
      <c r="W34" s="92" t="s">
        <v>63</v>
      </c>
      <c r="X34" s="92" t="s">
        <v>587</v>
      </c>
      <c r="Y34" s="92"/>
      <c r="Z34" s="92"/>
      <c r="AA34" s="92"/>
      <c r="AB34" s="90"/>
      <c r="AD34" s="90" t="s">
        <v>220</v>
      </c>
      <c r="AE34" s="90">
        <v>4</v>
      </c>
      <c r="AF34" s="92" t="s">
        <v>11</v>
      </c>
      <c r="AG34" s="92" t="s">
        <v>551</v>
      </c>
      <c r="AH34" s="92"/>
      <c r="AI34" s="90"/>
      <c r="AJ34" s="90"/>
      <c r="AK34" s="90"/>
      <c r="AM34" s="90"/>
      <c r="AN34" s="90">
        <v>4</v>
      </c>
      <c r="AO34" s="92" t="s">
        <v>138</v>
      </c>
      <c r="AP34" s="92" t="s">
        <v>78</v>
      </c>
      <c r="AQ34" s="92"/>
      <c r="AR34" s="90"/>
      <c r="AT34" s="90"/>
      <c r="AU34" s="90">
        <v>4</v>
      </c>
      <c r="AV34" s="92" t="s">
        <v>55</v>
      </c>
      <c r="AW34" s="92" t="s">
        <v>92</v>
      </c>
      <c r="AX34" s="92"/>
      <c r="AY34" s="90"/>
      <c r="BA34" s="90" t="s">
        <v>642</v>
      </c>
      <c r="BB34" s="90">
        <v>4</v>
      </c>
      <c r="BC34" s="92" t="s">
        <v>44</v>
      </c>
      <c r="BD34" s="92" t="s">
        <v>290</v>
      </c>
      <c r="BE34" s="92" t="s">
        <v>6</v>
      </c>
      <c r="BF34" s="92" t="s">
        <v>92</v>
      </c>
      <c r="BH34" s="90" t="s">
        <v>658</v>
      </c>
      <c r="BI34" s="90">
        <v>4</v>
      </c>
      <c r="BJ34" s="92" t="s">
        <v>659</v>
      </c>
      <c r="BK34" s="92" t="s">
        <v>43</v>
      </c>
      <c r="BL34" s="92"/>
      <c r="BM34" s="92"/>
      <c r="BN34" s="92"/>
      <c r="BO34" s="90"/>
      <c r="BQ34" s="90"/>
      <c r="BR34" s="90">
        <v>4</v>
      </c>
      <c r="BS34" s="92" t="s">
        <v>796</v>
      </c>
      <c r="BT34" s="92" t="s">
        <v>45</v>
      </c>
      <c r="BU34" s="92"/>
      <c r="BV34" s="90"/>
      <c r="BX34" s="90"/>
      <c r="BY34" s="90">
        <v>4</v>
      </c>
      <c r="BZ34" s="92" t="s">
        <v>138</v>
      </c>
      <c r="CA34" s="92" t="s">
        <v>12</v>
      </c>
      <c r="CB34" s="92"/>
      <c r="CC34" s="90"/>
      <c r="CD34" s="90"/>
      <c r="CE34" s="90"/>
      <c r="CF34" s="90"/>
      <c r="CH34" s="90"/>
      <c r="CI34" s="90">
        <v>4</v>
      </c>
      <c r="CJ34" s="92"/>
      <c r="CK34" s="92"/>
      <c r="CL34" s="92"/>
      <c r="CM34" s="90"/>
      <c r="CO34" s="93"/>
      <c r="CP34" s="93">
        <v>4</v>
      </c>
      <c r="CQ34" s="96"/>
      <c r="CR34" s="96"/>
      <c r="CS34" s="96"/>
      <c r="CT34" s="93"/>
    </row>
    <row r="35" spans="1:98">
      <c r="A35" s="90"/>
      <c r="B35" s="90"/>
      <c r="C35" s="92">
        <v>0</v>
      </c>
      <c r="D35" s="92">
        <v>1</v>
      </c>
      <c r="E35" s="92"/>
      <c r="F35" s="90"/>
      <c r="G35" s="90"/>
      <c r="H35" s="90"/>
      <c r="I35" s="90"/>
      <c r="J35" s="90"/>
      <c r="L35" s="90"/>
      <c r="M35" s="90"/>
      <c r="N35" s="92">
        <v>0</v>
      </c>
      <c r="O35" s="92">
        <v>1</v>
      </c>
      <c r="P35" s="92"/>
      <c r="Q35" s="90"/>
      <c r="R35" s="90"/>
      <c r="S35" s="90"/>
      <c r="U35" s="90"/>
      <c r="V35" s="90"/>
      <c r="W35" s="92">
        <v>0</v>
      </c>
      <c r="X35" s="92">
        <v>1</v>
      </c>
      <c r="Y35" s="92"/>
      <c r="Z35" s="92"/>
      <c r="AA35" s="92"/>
      <c r="AB35" s="90"/>
      <c r="AD35" s="90" t="s">
        <v>883</v>
      </c>
      <c r="AE35" s="90"/>
      <c r="AF35" s="92">
        <v>0</v>
      </c>
      <c r="AG35" s="92">
        <v>1</v>
      </c>
      <c r="AH35" s="92"/>
      <c r="AI35" s="90"/>
      <c r="AJ35" s="90"/>
      <c r="AK35" s="90"/>
      <c r="AM35" s="90"/>
      <c r="AN35" s="90"/>
      <c r="AO35" s="92">
        <v>1</v>
      </c>
      <c r="AP35" s="92">
        <v>0</v>
      </c>
      <c r="AQ35" s="92"/>
      <c r="AR35" s="90"/>
      <c r="AT35" s="90"/>
      <c r="AU35" s="90"/>
      <c r="AV35" s="92">
        <v>0</v>
      </c>
      <c r="AW35" s="92">
        <v>1</v>
      </c>
      <c r="AX35" s="92"/>
      <c r="AY35" s="90"/>
      <c r="BA35" s="90"/>
      <c r="BB35" s="90"/>
      <c r="BC35" s="92">
        <v>0</v>
      </c>
      <c r="BD35" s="92">
        <v>0</v>
      </c>
      <c r="BE35" s="92">
        <v>0</v>
      </c>
      <c r="BF35" s="92">
        <v>1</v>
      </c>
      <c r="BH35" s="90"/>
      <c r="BI35" s="90"/>
      <c r="BJ35" s="92">
        <v>1</v>
      </c>
      <c r="BK35" s="92">
        <v>0</v>
      </c>
      <c r="BL35" s="92"/>
      <c r="BM35" s="92"/>
      <c r="BN35" s="92"/>
      <c r="BO35" s="90"/>
      <c r="BQ35" s="90"/>
      <c r="BR35" s="90"/>
      <c r="BS35" s="92">
        <v>2</v>
      </c>
      <c r="BT35" s="92">
        <v>0</v>
      </c>
      <c r="BU35" s="92"/>
      <c r="BV35" s="90"/>
      <c r="BX35" s="90"/>
      <c r="BY35" s="90"/>
      <c r="BZ35" s="92">
        <v>1</v>
      </c>
      <c r="CA35" s="92">
        <v>0</v>
      </c>
      <c r="CB35" s="92"/>
      <c r="CC35" s="90"/>
      <c r="CD35" s="90"/>
      <c r="CE35" s="90"/>
      <c r="CF35" s="90"/>
      <c r="CH35" s="90"/>
      <c r="CI35" s="90"/>
      <c r="CJ35" s="92"/>
      <c r="CK35" s="92"/>
      <c r="CL35" s="92"/>
      <c r="CM35" s="90"/>
      <c r="CO35" s="93"/>
      <c r="CP35" s="93"/>
      <c r="CQ35" s="96"/>
      <c r="CR35" s="96"/>
      <c r="CS35" s="96"/>
      <c r="CT35" s="93"/>
    </row>
    <row r="36" spans="1:98">
      <c r="A36" s="90" t="s">
        <v>108</v>
      </c>
      <c r="B36" s="90">
        <v>5</v>
      </c>
      <c r="C36" s="92" t="s">
        <v>123</v>
      </c>
      <c r="D36" s="92" t="s">
        <v>12</v>
      </c>
      <c r="E36" s="92"/>
      <c r="F36" s="90"/>
      <c r="G36" s="90"/>
      <c r="H36" s="90"/>
      <c r="I36" s="90"/>
      <c r="J36" s="90"/>
      <c r="L36" s="90" t="s">
        <v>592</v>
      </c>
      <c r="M36" s="90">
        <v>5</v>
      </c>
      <c r="N36" s="92" t="s">
        <v>9</v>
      </c>
      <c r="O36" s="92" t="s">
        <v>263</v>
      </c>
      <c r="P36" s="92"/>
      <c r="Q36" s="90"/>
      <c r="R36" s="90"/>
      <c r="S36" s="90"/>
      <c r="U36" s="90" t="s">
        <v>555</v>
      </c>
      <c r="V36" s="90">
        <v>5</v>
      </c>
      <c r="W36" s="92" t="s">
        <v>46</v>
      </c>
      <c r="X36" s="92" t="s">
        <v>72</v>
      </c>
      <c r="Y36" s="92"/>
      <c r="Z36" s="92"/>
      <c r="AA36" s="92"/>
      <c r="AB36" s="90"/>
      <c r="AD36" s="90" t="s">
        <v>582</v>
      </c>
      <c r="AE36" s="90">
        <v>5</v>
      </c>
      <c r="AF36" s="92" t="s">
        <v>110</v>
      </c>
      <c r="AG36" s="92" t="s">
        <v>8</v>
      </c>
      <c r="AH36" s="92"/>
      <c r="AI36" s="90"/>
      <c r="AJ36" s="90"/>
      <c r="AK36" s="90"/>
      <c r="AM36" s="90" t="s">
        <v>556</v>
      </c>
      <c r="AN36" s="90">
        <v>5</v>
      </c>
      <c r="AO36" s="92" t="s">
        <v>557</v>
      </c>
      <c r="AP36" s="92" t="s">
        <v>65</v>
      </c>
      <c r="AQ36" s="92"/>
      <c r="AR36" s="90"/>
      <c r="AT36" s="90" t="s">
        <v>592</v>
      </c>
      <c r="AU36" s="90">
        <v>5</v>
      </c>
      <c r="AV36" s="92" t="s">
        <v>723</v>
      </c>
      <c r="AW36" s="92" t="s">
        <v>63</v>
      </c>
      <c r="AX36" s="92"/>
      <c r="AY36" s="90"/>
      <c r="BA36" s="90" t="s">
        <v>643</v>
      </c>
      <c r="BB36" s="90">
        <v>5</v>
      </c>
      <c r="BC36" s="92" t="s">
        <v>169</v>
      </c>
      <c r="BD36" s="92" t="s">
        <v>40</v>
      </c>
      <c r="BE36" s="92" t="s">
        <v>9</v>
      </c>
      <c r="BF36" s="92" t="s">
        <v>21</v>
      </c>
      <c r="BH36" s="90" t="s">
        <v>657</v>
      </c>
      <c r="BI36" s="90">
        <v>5</v>
      </c>
      <c r="BJ36" s="92" t="s">
        <v>796</v>
      </c>
      <c r="BK36" s="92" t="s">
        <v>55</v>
      </c>
      <c r="BL36" s="92"/>
      <c r="BM36" s="92"/>
      <c r="BN36" s="92"/>
      <c r="BO36" s="90"/>
      <c r="BQ36" s="90"/>
      <c r="BR36" s="90">
        <v>5</v>
      </c>
      <c r="BS36" s="92" t="s">
        <v>721</v>
      </c>
      <c r="BT36" s="92" t="s">
        <v>151</v>
      </c>
      <c r="BU36" s="92"/>
      <c r="BV36" s="90"/>
      <c r="BX36" s="90" t="s">
        <v>555</v>
      </c>
      <c r="BY36" s="90">
        <v>5</v>
      </c>
      <c r="BZ36" s="92" t="s">
        <v>53</v>
      </c>
      <c r="CA36" s="92" t="s">
        <v>796</v>
      </c>
      <c r="CB36" s="92"/>
      <c r="CC36" s="90"/>
      <c r="CD36" s="90"/>
      <c r="CE36" s="90"/>
      <c r="CF36" s="90"/>
      <c r="CH36" s="90"/>
      <c r="CI36" s="90">
        <v>5</v>
      </c>
      <c r="CJ36" s="92"/>
      <c r="CK36" s="92"/>
      <c r="CL36" s="92"/>
      <c r="CM36" s="90"/>
      <c r="CO36" s="93"/>
      <c r="CP36" s="93">
        <v>5</v>
      </c>
      <c r="CQ36" s="96"/>
      <c r="CR36" s="96"/>
      <c r="CS36" s="96"/>
      <c r="CT36" s="93"/>
    </row>
    <row r="37" spans="1:98">
      <c r="A37" s="90"/>
      <c r="B37" s="90"/>
      <c r="C37" s="92">
        <v>2</v>
      </c>
      <c r="D37" s="92">
        <v>0</v>
      </c>
      <c r="E37" s="92"/>
      <c r="F37" s="90"/>
      <c r="G37" s="90"/>
      <c r="H37" s="90"/>
      <c r="I37" s="90"/>
      <c r="J37" s="90"/>
      <c r="L37" s="90"/>
      <c r="M37" s="90"/>
      <c r="N37" s="92">
        <v>-2</v>
      </c>
      <c r="O37" s="92">
        <v>2</v>
      </c>
      <c r="P37" s="92"/>
      <c r="Q37" s="90"/>
      <c r="R37" s="90"/>
      <c r="S37" s="90"/>
      <c r="U37" s="90"/>
      <c r="V37" s="90"/>
      <c r="W37" s="92">
        <v>0</v>
      </c>
      <c r="X37" s="92">
        <v>1</v>
      </c>
      <c r="Y37" s="92"/>
      <c r="Z37" s="92"/>
      <c r="AA37" s="92"/>
      <c r="AB37" s="90"/>
      <c r="AD37" s="90"/>
      <c r="AE37" s="90"/>
      <c r="AF37" s="92">
        <v>1</v>
      </c>
      <c r="AG37" s="92">
        <v>0</v>
      </c>
      <c r="AH37" s="92"/>
      <c r="AI37" s="90"/>
      <c r="AJ37" s="90"/>
      <c r="AK37" s="90"/>
      <c r="AM37" s="90"/>
      <c r="AN37" s="90"/>
      <c r="AO37" s="92">
        <v>2</v>
      </c>
      <c r="AP37" s="92">
        <v>-2</v>
      </c>
      <c r="AQ37" s="92"/>
      <c r="AR37" s="90"/>
      <c r="AT37" s="90"/>
      <c r="AU37" s="90"/>
      <c r="AV37" s="92">
        <v>1</v>
      </c>
      <c r="AW37" s="92">
        <v>-1</v>
      </c>
      <c r="AX37" s="92"/>
      <c r="AY37" s="90"/>
      <c r="BA37" s="90"/>
      <c r="BB37" s="90"/>
      <c r="BC37" s="92">
        <v>2</v>
      </c>
      <c r="BD37" s="92">
        <v>0</v>
      </c>
      <c r="BE37" s="92">
        <v>0</v>
      </c>
      <c r="BF37" s="92">
        <v>0</v>
      </c>
      <c r="BH37" s="90"/>
      <c r="BI37" s="90"/>
      <c r="BJ37" s="92">
        <v>2</v>
      </c>
      <c r="BK37" s="92">
        <v>0</v>
      </c>
      <c r="BL37" s="92"/>
      <c r="BM37" s="92"/>
      <c r="BN37" s="92"/>
      <c r="BO37" s="90"/>
      <c r="BQ37" s="90"/>
      <c r="BR37" s="90"/>
      <c r="BS37" s="92">
        <v>0</v>
      </c>
      <c r="BT37" s="92">
        <v>2</v>
      </c>
      <c r="BU37" s="92"/>
      <c r="BV37" s="90"/>
      <c r="BX37" s="90"/>
      <c r="BY37" s="90"/>
      <c r="BZ37" s="92">
        <v>0</v>
      </c>
      <c r="CA37" s="92">
        <v>2</v>
      </c>
      <c r="CB37" s="92"/>
      <c r="CC37" s="90"/>
      <c r="CD37" s="90"/>
      <c r="CE37" s="90"/>
      <c r="CF37" s="90"/>
      <c r="CH37" s="90"/>
      <c r="CI37" s="90"/>
      <c r="CJ37" s="92"/>
      <c r="CK37" s="92"/>
      <c r="CL37" s="92"/>
      <c r="CM37" s="90"/>
      <c r="CO37" s="93"/>
      <c r="CP37" s="93"/>
      <c r="CQ37" s="96"/>
      <c r="CR37" s="96"/>
      <c r="CS37" s="96"/>
      <c r="CT37" s="93"/>
    </row>
    <row r="38" spans="1:98">
      <c r="CO38" s="32"/>
      <c r="CP38" s="32"/>
      <c r="CQ38" s="32"/>
      <c r="CR38" s="32"/>
      <c r="CS38" s="32"/>
      <c r="CT38" s="32"/>
    </row>
    <row r="39" spans="1:98" ht="21">
      <c r="A39" s="10"/>
      <c r="B39" s="11" t="s">
        <v>69</v>
      </c>
      <c r="C39" s="27" t="s">
        <v>455</v>
      </c>
      <c r="D39" s="12"/>
      <c r="E39" s="10"/>
      <c r="F39" s="10"/>
      <c r="G39" s="10"/>
      <c r="H39" s="10"/>
      <c r="I39" s="10"/>
      <c r="J39" s="10"/>
      <c r="L39" s="10"/>
      <c r="M39" s="11" t="s">
        <v>69</v>
      </c>
      <c r="N39" s="27" t="s">
        <v>461</v>
      </c>
      <c r="O39" s="12"/>
      <c r="P39" s="10"/>
      <c r="Q39" s="10"/>
      <c r="R39" s="10"/>
      <c r="S39" s="10"/>
      <c r="U39" s="10"/>
      <c r="V39" s="11" t="s">
        <v>69</v>
      </c>
      <c r="W39" s="27" t="s">
        <v>466</v>
      </c>
      <c r="X39" s="12"/>
      <c r="Y39" s="10"/>
      <c r="Z39" s="10"/>
      <c r="AA39" s="10"/>
      <c r="AB39" s="10"/>
      <c r="AD39" s="10"/>
      <c r="AE39" s="11" t="s">
        <v>69</v>
      </c>
      <c r="AF39" s="27" t="s">
        <v>177</v>
      </c>
      <c r="AG39" s="12"/>
      <c r="AH39" s="10"/>
      <c r="AI39" s="10"/>
      <c r="AJ39" s="10"/>
      <c r="AK39" s="10"/>
      <c r="AM39" s="10"/>
      <c r="AN39" s="11" t="s">
        <v>69</v>
      </c>
      <c r="AO39" s="27" t="s">
        <v>178</v>
      </c>
      <c r="AP39" s="12"/>
      <c r="AQ39" s="10"/>
      <c r="AR39" s="10"/>
      <c r="AT39" s="10"/>
      <c r="AU39" s="11" t="s">
        <v>69</v>
      </c>
      <c r="AV39" s="27" t="s">
        <v>472</v>
      </c>
      <c r="AW39" s="12"/>
      <c r="AX39" s="10"/>
      <c r="AY39" s="10"/>
      <c r="BA39" s="10"/>
      <c r="BB39" s="11" t="s">
        <v>69</v>
      </c>
      <c r="BC39" s="27" t="s">
        <v>480</v>
      </c>
      <c r="BD39" s="12"/>
      <c r="BE39" s="10"/>
      <c r="BF39" s="12"/>
      <c r="BH39" s="10"/>
      <c r="BI39" s="11" t="s">
        <v>69</v>
      </c>
      <c r="BJ39" s="27" t="s">
        <v>488</v>
      </c>
      <c r="BK39" s="12"/>
      <c r="BL39" s="10"/>
      <c r="BM39" s="10"/>
      <c r="BN39" s="10"/>
      <c r="BO39" s="10"/>
      <c r="BQ39" s="10"/>
      <c r="BR39" s="11" t="s">
        <v>69</v>
      </c>
      <c r="BS39" s="27" t="s">
        <v>813</v>
      </c>
      <c r="BT39" s="12"/>
      <c r="BU39" s="10"/>
      <c r="BV39" s="10"/>
      <c r="BX39" s="10"/>
      <c r="BY39" s="11" t="s">
        <v>69</v>
      </c>
      <c r="BZ39" s="27" t="s">
        <v>500</v>
      </c>
      <c r="CA39" s="12"/>
      <c r="CB39" s="10"/>
      <c r="CC39" s="10"/>
      <c r="CD39" s="10"/>
      <c r="CE39" s="10"/>
      <c r="CF39" s="10"/>
      <c r="CH39" s="10"/>
      <c r="CI39" s="11" t="s">
        <v>69</v>
      </c>
      <c r="CJ39" s="27" t="s">
        <v>257</v>
      </c>
      <c r="CK39" s="12"/>
      <c r="CL39" s="10"/>
      <c r="CM39" s="10"/>
      <c r="CO39" s="34"/>
      <c r="CP39" s="35" t="s">
        <v>69</v>
      </c>
      <c r="CQ39" s="36" t="s">
        <v>879</v>
      </c>
      <c r="CR39" s="37"/>
      <c r="CS39" s="34"/>
      <c r="CT39" s="34"/>
    </row>
    <row r="40" spans="1:98">
      <c r="A40" s="10"/>
      <c r="B40" s="10">
        <v>1</v>
      </c>
      <c r="C40" s="12" t="s">
        <v>117</v>
      </c>
      <c r="D40" s="12" t="s">
        <v>20</v>
      </c>
      <c r="E40" s="12"/>
      <c r="F40" s="10"/>
      <c r="G40" s="10"/>
      <c r="H40" s="10"/>
      <c r="I40" s="10"/>
      <c r="J40" s="10"/>
      <c r="L40" s="10"/>
      <c r="M40" s="10">
        <v>1</v>
      </c>
      <c r="N40" s="12" t="s">
        <v>52</v>
      </c>
      <c r="O40" s="12" t="s">
        <v>579</v>
      </c>
      <c r="P40" s="12"/>
      <c r="Q40" s="10"/>
      <c r="R40" s="10"/>
      <c r="S40" s="10"/>
      <c r="U40" s="10"/>
      <c r="V40" s="10">
        <v>1</v>
      </c>
      <c r="W40" s="12" t="s">
        <v>580</v>
      </c>
      <c r="X40" s="12" t="s">
        <v>542</v>
      </c>
      <c r="Y40" s="12"/>
      <c r="Z40" s="12"/>
      <c r="AA40" s="12"/>
      <c r="AB40" s="10"/>
      <c r="AD40" s="10"/>
      <c r="AE40" s="10">
        <v>1</v>
      </c>
      <c r="AF40" s="12" t="s">
        <v>291</v>
      </c>
      <c r="AG40" s="12" t="s">
        <v>70</v>
      </c>
      <c r="AH40" s="12"/>
      <c r="AI40" s="10"/>
      <c r="AJ40" s="10"/>
      <c r="AK40" s="10"/>
      <c r="AM40" s="10"/>
      <c r="AN40" s="10">
        <v>1</v>
      </c>
      <c r="AO40" s="12" t="s">
        <v>150</v>
      </c>
      <c r="AP40" s="12" t="s">
        <v>542</v>
      </c>
      <c r="AQ40" s="12"/>
      <c r="AR40" s="10"/>
      <c r="AT40" s="10"/>
      <c r="AU40" s="10">
        <v>1</v>
      </c>
      <c r="AV40" s="12" t="s">
        <v>8</v>
      </c>
      <c r="AW40" s="12" t="s">
        <v>83</v>
      </c>
      <c r="AX40" s="12"/>
      <c r="AY40" s="10"/>
      <c r="BA40" s="10"/>
      <c r="BB40" s="10">
        <v>1</v>
      </c>
      <c r="BC40" s="12" t="s">
        <v>558</v>
      </c>
      <c r="BD40" s="12" t="s">
        <v>4</v>
      </c>
      <c r="BE40" s="12"/>
      <c r="BF40" s="12"/>
      <c r="BH40" s="10"/>
      <c r="BI40" s="10">
        <v>1</v>
      </c>
      <c r="BJ40" s="12" t="s">
        <v>42</v>
      </c>
      <c r="BK40" s="12" t="s">
        <v>569</v>
      </c>
      <c r="BL40" s="12"/>
      <c r="BM40" s="12"/>
      <c r="BN40" s="12"/>
      <c r="BO40" s="10"/>
      <c r="BQ40" s="10"/>
      <c r="BR40" s="10">
        <v>1</v>
      </c>
      <c r="BS40" s="12" t="s">
        <v>49</v>
      </c>
      <c r="BT40" s="12" t="s">
        <v>150</v>
      </c>
      <c r="BU40" s="12"/>
      <c r="BV40" s="10"/>
      <c r="BX40" s="10" t="s">
        <v>140</v>
      </c>
      <c r="BY40" s="10">
        <v>1</v>
      </c>
      <c r="BZ40" s="12" t="s">
        <v>568</v>
      </c>
      <c r="CA40" s="12" t="s">
        <v>37</v>
      </c>
      <c r="CB40" s="12"/>
      <c r="CC40" s="10"/>
      <c r="CD40" s="10"/>
      <c r="CE40" s="10"/>
      <c r="CF40" s="10"/>
      <c r="CH40" s="10"/>
      <c r="CI40" s="10">
        <v>1</v>
      </c>
      <c r="CJ40" s="12"/>
      <c r="CK40" s="12"/>
      <c r="CL40" s="12"/>
      <c r="CM40" s="10"/>
      <c r="CO40" s="34"/>
      <c r="CP40" s="34">
        <v>1</v>
      </c>
      <c r="CQ40" s="37"/>
      <c r="CR40" s="37"/>
      <c r="CS40" s="37"/>
      <c r="CT40" s="34"/>
    </row>
    <row r="41" spans="1:98">
      <c r="A41" s="10"/>
      <c r="B41" s="10"/>
      <c r="C41" s="12">
        <v>2</v>
      </c>
      <c r="D41" s="12">
        <v>0</v>
      </c>
      <c r="E41" s="12"/>
      <c r="F41" s="10"/>
      <c r="G41" s="10"/>
      <c r="H41" s="10"/>
      <c r="I41" s="10"/>
      <c r="J41" s="10"/>
      <c r="L41" s="10"/>
      <c r="M41" s="10"/>
      <c r="N41" s="12">
        <v>0</v>
      </c>
      <c r="O41" s="12">
        <v>1</v>
      </c>
      <c r="P41" s="12"/>
      <c r="Q41" s="10"/>
      <c r="R41" s="10"/>
      <c r="S41" s="10"/>
      <c r="U41" s="10"/>
      <c r="V41" s="10"/>
      <c r="W41" s="12">
        <v>2</v>
      </c>
      <c r="X41" s="12">
        <v>0</v>
      </c>
      <c r="Y41" s="12"/>
      <c r="Z41" s="12"/>
      <c r="AA41" s="12"/>
      <c r="AB41" s="10"/>
      <c r="AD41" s="10"/>
      <c r="AE41" s="10"/>
      <c r="AF41" s="12">
        <v>0</v>
      </c>
      <c r="AG41" s="12">
        <v>1</v>
      </c>
      <c r="AH41" s="12"/>
      <c r="AI41" s="10"/>
      <c r="AJ41" s="10"/>
      <c r="AK41" s="10"/>
      <c r="AM41" s="10"/>
      <c r="AN41" s="10"/>
      <c r="AO41" s="12">
        <v>1</v>
      </c>
      <c r="AP41" s="12">
        <v>0</v>
      </c>
      <c r="AQ41" s="12"/>
      <c r="AR41" s="10"/>
      <c r="AT41" s="10"/>
      <c r="AU41" s="10"/>
      <c r="AV41" s="12">
        <v>0</v>
      </c>
      <c r="AW41" s="12">
        <v>3</v>
      </c>
      <c r="AX41" s="12"/>
      <c r="AY41" s="10"/>
      <c r="BA41" s="10"/>
      <c r="BB41" s="10"/>
      <c r="BC41" s="12">
        <v>2</v>
      </c>
      <c r="BD41" s="12">
        <v>0</v>
      </c>
      <c r="BE41" s="12"/>
      <c r="BF41" s="12"/>
      <c r="BH41" s="10"/>
      <c r="BI41" s="10"/>
      <c r="BJ41" s="12">
        <v>0</v>
      </c>
      <c r="BK41" s="12">
        <v>1</v>
      </c>
      <c r="BL41" s="12"/>
      <c r="BM41" s="12"/>
      <c r="BN41" s="12"/>
      <c r="BO41" s="10"/>
      <c r="BQ41" s="10"/>
      <c r="BR41" s="10"/>
      <c r="BS41" s="12">
        <v>0</v>
      </c>
      <c r="BT41" s="12">
        <v>2</v>
      </c>
      <c r="BU41" s="12"/>
      <c r="BV41" s="10"/>
      <c r="BX41" s="10"/>
      <c r="BY41" s="10"/>
      <c r="BZ41" s="12">
        <v>1</v>
      </c>
      <c r="CA41" s="12">
        <v>0</v>
      </c>
      <c r="CB41" s="12"/>
      <c r="CC41" s="10"/>
      <c r="CD41" s="10"/>
      <c r="CE41" s="10"/>
      <c r="CF41" s="10"/>
      <c r="CH41" s="10"/>
      <c r="CI41" s="10"/>
      <c r="CJ41" s="12"/>
      <c r="CK41" s="12"/>
      <c r="CL41" s="12"/>
      <c r="CM41" s="10"/>
      <c r="CO41" s="34"/>
      <c r="CP41" s="34"/>
      <c r="CQ41" s="37"/>
      <c r="CR41" s="37"/>
      <c r="CS41" s="37"/>
      <c r="CT41" s="34"/>
    </row>
    <row r="42" spans="1:98">
      <c r="A42" s="10"/>
      <c r="B42" s="10">
        <v>2</v>
      </c>
      <c r="C42" s="12" t="s">
        <v>57</v>
      </c>
      <c r="D42" s="12" t="s">
        <v>122</v>
      </c>
      <c r="E42" s="12"/>
      <c r="F42" s="12"/>
      <c r="G42" s="10"/>
      <c r="H42" s="10"/>
      <c r="I42" s="10"/>
      <c r="J42" s="10"/>
      <c r="L42" s="10"/>
      <c r="M42" s="10">
        <v>2</v>
      </c>
      <c r="N42" s="12" t="s">
        <v>573</v>
      </c>
      <c r="O42" s="12" t="s">
        <v>48</v>
      </c>
      <c r="P42" s="12"/>
      <c r="Q42" s="10"/>
      <c r="R42" s="10"/>
      <c r="S42" s="10"/>
      <c r="U42" s="10"/>
      <c r="V42" s="10">
        <v>2</v>
      </c>
      <c r="W42" s="12" t="s">
        <v>445</v>
      </c>
      <c r="X42" s="12" t="s">
        <v>150</v>
      </c>
      <c r="Y42" s="12"/>
      <c r="Z42" s="12"/>
      <c r="AA42" s="12"/>
      <c r="AB42" s="10"/>
      <c r="AD42" s="10" t="s">
        <v>136</v>
      </c>
      <c r="AE42" s="10">
        <v>2</v>
      </c>
      <c r="AF42" s="12" t="s">
        <v>92</v>
      </c>
      <c r="AG42" s="30" t="s">
        <v>145</v>
      </c>
      <c r="AH42" s="12" t="s">
        <v>10</v>
      </c>
      <c r="AI42" s="12" t="s">
        <v>290</v>
      </c>
      <c r="AJ42" s="10"/>
      <c r="AK42" s="10"/>
      <c r="AM42" s="10"/>
      <c r="AN42" s="10">
        <v>2</v>
      </c>
      <c r="AO42" s="12" t="s">
        <v>163</v>
      </c>
      <c r="AP42" s="12" t="s">
        <v>36</v>
      </c>
      <c r="AQ42" s="12"/>
      <c r="AR42" s="10"/>
      <c r="AT42" s="10"/>
      <c r="AU42" s="10">
        <v>2</v>
      </c>
      <c r="AV42" s="12" t="s">
        <v>76</v>
      </c>
      <c r="AW42" s="12" t="s">
        <v>117</v>
      </c>
      <c r="AX42" s="12"/>
      <c r="AY42" s="10"/>
      <c r="BA42" s="10" t="s">
        <v>271</v>
      </c>
      <c r="BB42" s="10">
        <v>2</v>
      </c>
      <c r="BC42" s="12" t="s">
        <v>57</v>
      </c>
      <c r="BD42" s="12" t="s">
        <v>659</v>
      </c>
      <c r="BE42" s="12"/>
      <c r="BF42" s="12"/>
      <c r="BH42" s="10" t="s">
        <v>233</v>
      </c>
      <c r="BI42" s="10">
        <v>2</v>
      </c>
      <c r="BJ42" s="12" t="s">
        <v>54</v>
      </c>
      <c r="BK42" s="12" t="s">
        <v>596</v>
      </c>
      <c r="BL42" s="12"/>
      <c r="BM42" s="12"/>
      <c r="BN42" s="12"/>
      <c r="BO42" s="10"/>
      <c r="BQ42" s="10" t="s">
        <v>140</v>
      </c>
      <c r="BR42" s="10">
        <v>2</v>
      </c>
      <c r="BS42" s="12" t="s">
        <v>263</v>
      </c>
      <c r="BT42" s="12" t="s">
        <v>531</v>
      </c>
      <c r="BU42" s="12"/>
      <c r="BV42" s="10"/>
      <c r="BX42" s="10"/>
      <c r="BY42" s="10">
        <v>2</v>
      </c>
      <c r="BZ42" s="12" t="s">
        <v>587</v>
      </c>
      <c r="CA42" s="12" t="s">
        <v>20</v>
      </c>
      <c r="CB42" s="12"/>
      <c r="CC42" s="10"/>
      <c r="CD42" s="10"/>
      <c r="CE42" s="10"/>
      <c r="CF42" s="10"/>
      <c r="CH42" s="10"/>
      <c r="CI42" s="10">
        <v>2</v>
      </c>
      <c r="CJ42" s="12"/>
      <c r="CK42" s="12"/>
      <c r="CL42" s="12"/>
      <c r="CM42" s="10"/>
      <c r="CO42" s="34"/>
      <c r="CP42" s="34">
        <v>2</v>
      </c>
      <c r="CQ42" s="37"/>
      <c r="CR42" s="37"/>
      <c r="CS42" s="37"/>
      <c r="CT42" s="34"/>
    </row>
    <row r="43" spans="1:98">
      <c r="A43" s="10"/>
      <c r="B43" s="10"/>
      <c r="C43" s="12">
        <v>0</v>
      </c>
      <c r="D43" s="12">
        <v>2</v>
      </c>
      <c r="E43" s="12"/>
      <c r="F43" s="10"/>
      <c r="G43" s="10"/>
      <c r="H43" s="10"/>
      <c r="I43" s="10"/>
      <c r="J43" s="10"/>
      <c r="L43" s="10"/>
      <c r="M43" s="10"/>
      <c r="N43" s="12">
        <v>1</v>
      </c>
      <c r="O43" s="12">
        <v>0</v>
      </c>
      <c r="P43" s="12"/>
      <c r="Q43" s="10"/>
      <c r="R43" s="10"/>
      <c r="S43" s="10"/>
      <c r="U43" s="10"/>
      <c r="V43" s="10"/>
      <c r="W43" s="12">
        <v>0</v>
      </c>
      <c r="X43" s="12">
        <v>3</v>
      </c>
      <c r="Y43" s="12"/>
      <c r="Z43" s="12"/>
      <c r="AA43" s="12"/>
      <c r="AB43" s="10"/>
      <c r="AD43" s="10"/>
      <c r="AE43" s="10"/>
      <c r="AF43" s="12">
        <v>1</v>
      </c>
      <c r="AG43" s="12">
        <v>2</v>
      </c>
      <c r="AH43" s="12">
        <v>0</v>
      </c>
      <c r="AI43" s="12">
        <v>0</v>
      </c>
      <c r="AJ43" s="10"/>
      <c r="AK43" s="10"/>
      <c r="AM43" s="10"/>
      <c r="AN43" s="10"/>
      <c r="AO43" s="12">
        <v>3</v>
      </c>
      <c r="AP43" s="12">
        <v>0</v>
      </c>
      <c r="AQ43" s="12"/>
      <c r="AR43" s="10"/>
      <c r="AT43" s="10"/>
      <c r="AU43" s="10"/>
      <c r="AV43" s="12">
        <v>0</v>
      </c>
      <c r="AW43" s="12">
        <v>1</v>
      </c>
      <c r="AX43" s="12"/>
      <c r="AY43" s="10"/>
      <c r="BA43" s="10"/>
      <c r="BB43" s="10"/>
      <c r="BC43" s="12">
        <v>0</v>
      </c>
      <c r="BD43" s="12">
        <v>1</v>
      </c>
      <c r="BE43" s="12"/>
      <c r="BF43" s="12"/>
      <c r="BH43" s="10"/>
      <c r="BI43" s="10"/>
      <c r="BJ43" s="12">
        <v>0</v>
      </c>
      <c r="BK43" s="12">
        <v>0</v>
      </c>
      <c r="BL43" s="12"/>
      <c r="BM43" s="12"/>
      <c r="BN43" s="12"/>
      <c r="BO43" s="10"/>
      <c r="BQ43" s="10"/>
      <c r="BR43" s="10"/>
      <c r="BS43" s="12">
        <v>2</v>
      </c>
      <c r="BT43" s="12">
        <v>0</v>
      </c>
      <c r="BU43" s="12"/>
      <c r="BV43" s="10"/>
      <c r="BX43" s="10"/>
      <c r="BY43" s="10"/>
      <c r="BZ43" s="12">
        <v>2</v>
      </c>
      <c r="CA43" s="12">
        <v>0</v>
      </c>
      <c r="CB43" s="12"/>
      <c r="CC43" s="10"/>
      <c r="CD43" s="10"/>
      <c r="CE43" s="10"/>
      <c r="CF43" s="10"/>
      <c r="CH43" s="10"/>
      <c r="CI43" s="10"/>
      <c r="CJ43" s="12"/>
      <c r="CK43" s="12"/>
      <c r="CL43" s="12"/>
      <c r="CM43" s="10"/>
      <c r="CO43" s="34"/>
      <c r="CP43" s="34"/>
      <c r="CQ43" s="37"/>
      <c r="CR43" s="37"/>
      <c r="CS43" s="37"/>
      <c r="CT43" s="34"/>
    </row>
    <row r="44" spans="1:98">
      <c r="A44" s="10" t="s">
        <v>140</v>
      </c>
      <c r="B44" s="10">
        <v>3</v>
      </c>
      <c r="C44" s="12" t="s">
        <v>145</v>
      </c>
      <c r="D44" s="12" t="s">
        <v>542</v>
      </c>
      <c r="E44" s="10"/>
      <c r="F44" s="10"/>
      <c r="G44" s="10"/>
      <c r="H44" s="10"/>
      <c r="I44" s="10"/>
      <c r="J44" s="10"/>
      <c r="L44" s="10" t="s">
        <v>575</v>
      </c>
      <c r="M44" s="10">
        <v>3</v>
      </c>
      <c r="N44" s="12" t="s">
        <v>568</v>
      </c>
      <c r="O44" s="12" t="s">
        <v>542</v>
      </c>
      <c r="P44" s="12"/>
      <c r="Q44" s="10"/>
      <c r="R44" s="10"/>
      <c r="S44" s="10"/>
      <c r="U44" s="10"/>
      <c r="V44" s="10">
        <v>3</v>
      </c>
      <c r="W44" s="12" t="s">
        <v>56</v>
      </c>
      <c r="X44" s="12" t="s">
        <v>558</v>
      </c>
      <c r="Y44" s="10"/>
      <c r="Z44" s="10"/>
      <c r="AA44" s="10"/>
      <c r="AB44" s="10"/>
      <c r="AD44" s="10" t="s">
        <v>220</v>
      </c>
      <c r="AE44" s="10">
        <v>3</v>
      </c>
      <c r="AF44" s="12" t="s">
        <v>445</v>
      </c>
      <c r="AG44" s="12" t="s">
        <v>195</v>
      </c>
      <c r="AH44" s="10"/>
      <c r="AI44" s="10"/>
      <c r="AJ44" s="10"/>
      <c r="AK44" s="10"/>
      <c r="AM44" s="10"/>
      <c r="AN44" s="10">
        <v>3</v>
      </c>
      <c r="AO44" s="12" t="s">
        <v>48</v>
      </c>
      <c r="AP44" s="12" t="s">
        <v>144</v>
      </c>
      <c r="AQ44" s="10"/>
      <c r="AR44" s="10"/>
      <c r="AT44" s="10"/>
      <c r="AU44" s="10">
        <v>3</v>
      </c>
      <c r="AV44" s="12" t="s">
        <v>585</v>
      </c>
      <c r="AW44" s="12" t="s">
        <v>18</v>
      </c>
      <c r="AX44" s="10"/>
      <c r="AY44" s="10"/>
      <c r="BA44" s="10" t="s">
        <v>272</v>
      </c>
      <c r="BB44" s="10">
        <v>3</v>
      </c>
      <c r="BC44" s="12" t="s">
        <v>54</v>
      </c>
      <c r="BD44" s="12" t="s">
        <v>568</v>
      </c>
      <c r="BE44" s="10"/>
      <c r="BF44" s="12"/>
      <c r="BH44" s="10" t="s">
        <v>654</v>
      </c>
      <c r="BI44" s="10">
        <v>3</v>
      </c>
      <c r="BJ44" s="12" t="s">
        <v>568</v>
      </c>
      <c r="BK44" s="30" t="s">
        <v>543</v>
      </c>
      <c r="BL44" s="12" t="s">
        <v>47</v>
      </c>
      <c r="BM44" s="12" t="s">
        <v>8</v>
      </c>
      <c r="BN44" s="10"/>
      <c r="BO44" s="10"/>
      <c r="BQ44" s="10"/>
      <c r="BR44" s="10">
        <v>3</v>
      </c>
      <c r="BS44" s="12" t="s">
        <v>4</v>
      </c>
      <c r="BT44" s="12" t="s">
        <v>163</v>
      </c>
      <c r="BU44" s="10"/>
      <c r="BV44" s="10"/>
      <c r="BX44" s="10"/>
      <c r="BY44" s="10">
        <v>3</v>
      </c>
      <c r="BZ44" s="12" t="s">
        <v>150</v>
      </c>
      <c r="CA44" s="12" t="s">
        <v>19</v>
      </c>
      <c r="CB44" s="10"/>
      <c r="CC44" s="10"/>
      <c r="CD44" s="10"/>
      <c r="CE44" s="10"/>
      <c r="CF44" s="10"/>
      <c r="CH44" s="10"/>
      <c r="CI44" s="10">
        <v>3</v>
      </c>
      <c r="CJ44" s="12"/>
      <c r="CK44" s="30"/>
      <c r="CL44" s="12"/>
      <c r="CM44" s="12"/>
      <c r="CO44" s="34"/>
      <c r="CP44" s="34">
        <v>3</v>
      </c>
      <c r="CQ44" s="37"/>
      <c r="CR44" s="37"/>
      <c r="CS44" s="34"/>
      <c r="CT44" s="34"/>
    </row>
    <row r="45" spans="1:98">
      <c r="A45" s="10"/>
      <c r="B45" s="10"/>
      <c r="C45" s="12">
        <v>2</v>
      </c>
      <c r="D45" s="12">
        <v>0</v>
      </c>
      <c r="E45" s="12"/>
      <c r="F45" s="10"/>
      <c r="G45" s="10"/>
      <c r="H45" s="10"/>
      <c r="I45" s="10"/>
      <c r="J45" s="10"/>
      <c r="L45" s="10"/>
      <c r="M45" s="10"/>
      <c r="N45" s="12">
        <v>1</v>
      </c>
      <c r="O45" s="12">
        <v>0</v>
      </c>
      <c r="P45" s="12"/>
      <c r="Q45" s="10"/>
      <c r="R45" s="10"/>
      <c r="S45" s="10"/>
      <c r="U45" s="10"/>
      <c r="V45" s="10"/>
      <c r="W45" s="12">
        <v>0</v>
      </c>
      <c r="X45" s="12">
        <v>2</v>
      </c>
      <c r="Y45" s="12"/>
      <c r="Z45" s="12"/>
      <c r="AA45" s="12"/>
      <c r="AB45" s="10"/>
      <c r="AD45" s="10"/>
      <c r="AE45" s="10"/>
      <c r="AF45" s="12">
        <v>0</v>
      </c>
      <c r="AG45" s="12">
        <v>3</v>
      </c>
      <c r="AH45" s="12"/>
      <c r="AI45" s="10"/>
      <c r="AJ45" s="10"/>
      <c r="AK45" s="10"/>
      <c r="AM45" s="10"/>
      <c r="AN45" s="10"/>
      <c r="AO45" s="12">
        <v>0</v>
      </c>
      <c r="AP45" s="12">
        <v>3</v>
      </c>
      <c r="AQ45" s="12"/>
      <c r="AR45" s="10"/>
      <c r="AT45" s="10"/>
      <c r="AU45" s="10"/>
      <c r="AV45" s="12">
        <v>1</v>
      </c>
      <c r="AW45" s="12">
        <v>0</v>
      </c>
      <c r="AX45" s="12"/>
      <c r="AY45" s="10"/>
      <c r="BA45" s="10"/>
      <c r="BB45" s="10"/>
      <c r="BC45" s="12">
        <v>0</v>
      </c>
      <c r="BD45" s="12">
        <v>2</v>
      </c>
      <c r="BE45" s="12"/>
      <c r="BF45" s="12"/>
      <c r="BH45" s="10"/>
      <c r="BI45" s="10"/>
      <c r="BJ45" s="12">
        <v>1</v>
      </c>
      <c r="BK45" s="12">
        <v>1</v>
      </c>
      <c r="BL45" s="12">
        <v>0</v>
      </c>
      <c r="BM45" s="12">
        <v>0</v>
      </c>
      <c r="BN45" s="12"/>
      <c r="BO45" s="10"/>
      <c r="BQ45" s="10"/>
      <c r="BR45" s="10"/>
      <c r="BS45" s="12">
        <v>0</v>
      </c>
      <c r="BT45" s="12">
        <v>1</v>
      </c>
      <c r="BU45" s="12"/>
      <c r="BV45" s="10"/>
      <c r="BX45" s="10"/>
      <c r="BY45" s="10"/>
      <c r="BZ45" s="12">
        <v>1</v>
      </c>
      <c r="CA45" s="12">
        <v>0</v>
      </c>
      <c r="CB45" s="12"/>
      <c r="CC45" s="10"/>
      <c r="CD45" s="10"/>
      <c r="CE45" s="10"/>
      <c r="CF45" s="10"/>
      <c r="CH45" s="10"/>
      <c r="CI45" s="10"/>
      <c r="CJ45" s="12"/>
      <c r="CK45" s="12"/>
      <c r="CL45" s="12"/>
      <c r="CM45" s="12"/>
      <c r="CO45" s="34"/>
      <c r="CP45" s="34"/>
      <c r="CQ45" s="37"/>
      <c r="CR45" s="37"/>
      <c r="CS45" s="37"/>
      <c r="CT45" s="34"/>
    </row>
    <row r="46" spans="1:98">
      <c r="A46" s="10"/>
      <c r="B46" s="10">
        <v>4</v>
      </c>
      <c r="C46" s="12" t="s">
        <v>4</v>
      </c>
      <c r="D46" s="12" t="s">
        <v>150</v>
      </c>
      <c r="E46" s="12"/>
      <c r="F46" s="10"/>
      <c r="G46" s="10"/>
      <c r="H46" s="10"/>
      <c r="I46" s="10"/>
      <c r="J46" s="10"/>
      <c r="L46" s="10"/>
      <c r="M46" s="10">
        <v>4</v>
      </c>
      <c r="N46" s="12" t="s">
        <v>659</v>
      </c>
      <c r="O46" s="12" t="s">
        <v>47</v>
      </c>
      <c r="P46" s="12"/>
      <c r="Q46" s="10"/>
      <c r="R46" s="10"/>
      <c r="S46" s="10"/>
      <c r="U46" s="10"/>
      <c r="V46" s="10">
        <v>4</v>
      </c>
      <c r="W46" s="12" t="s">
        <v>36</v>
      </c>
      <c r="X46" s="12" t="s">
        <v>142</v>
      </c>
      <c r="Y46" s="12"/>
      <c r="Z46" s="12"/>
      <c r="AA46" s="12"/>
      <c r="AB46" s="10"/>
      <c r="AD46" s="10" t="s">
        <v>220</v>
      </c>
      <c r="AE46" s="10">
        <v>4</v>
      </c>
      <c r="AF46" s="12" t="s">
        <v>542</v>
      </c>
      <c r="AG46" s="12" t="s">
        <v>150</v>
      </c>
      <c r="AH46" s="12"/>
      <c r="AI46" s="10"/>
      <c r="AJ46" s="10"/>
      <c r="AK46" s="10"/>
      <c r="AM46" s="10"/>
      <c r="AN46" s="10">
        <v>4</v>
      </c>
      <c r="AO46" s="12" t="s">
        <v>4</v>
      </c>
      <c r="AP46" s="12" t="s">
        <v>580</v>
      </c>
      <c r="AQ46" s="12"/>
      <c r="AR46" s="10"/>
      <c r="AT46" s="10"/>
      <c r="AU46" s="10">
        <v>4</v>
      </c>
      <c r="AV46" s="12" t="s">
        <v>291</v>
      </c>
      <c r="AW46" s="12" t="s">
        <v>569</v>
      </c>
      <c r="AX46" s="12"/>
      <c r="AY46" s="10"/>
      <c r="BA46" s="10" t="s">
        <v>273</v>
      </c>
      <c r="BB46" s="10">
        <v>4</v>
      </c>
      <c r="BC46" s="12" t="s">
        <v>13</v>
      </c>
      <c r="BD46" s="12" t="s">
        <v>560</v>
      </c>
      <c r="BE46" s="12"/>
      <c r="BF46" s="12"/>
      <c r="BH46" s="10" t="s">
        <v>312</v>
      </c>
      <c r="BI46" s="10">
        <v>4</v>
      </c>
      <c r="BJ46" s="12" t="s">
        <v>57</v>
      </c>
      <c r="BK46" s="12" t="s">
        <v>150</v>
      </c>
      <c r="BL46" s="12"/>
      <c r="BM46" s="12"/>
      <c r="BN46" s="12"/>
      <c r="BO46" s="10"/>
      <c r="BQ46" s="10"/>
      <c r="BR46" s="10">
        <v>4</v>
      </c>
      <c r="BS46" s="12" t="s">
        <v>51</v>
      </c>
      <c r="BT46" s="12" t="s">
        <v>558</v>
      </c>
      <c r="BU46" s="12"/>
      <c r="BV46" s="10"/>
      <c r="BX46" s="10"/>
      <c r="BY46" s="10">
        <v>4</v>
      </c>
      <c r="BZ46" s="12" t="s">
        <v>145</v>
      </c>
      <c r="CA46" s="12" t="s">
        <v>57</v>
      </c>
      <c r="CB46" s="12"/>
      <c r="CC46" s="10"/>
      <c r="CD46" s="10"/>
      <c r="CE46" s="10"/>
      <c r="CF46" s="10"/>
      <c r="CH46" s="10"/>
      <c r="CI46" s="10">
        <v>4</v>
      </c>
      <c r="CJ46" s="12"/>
      <c r="CK46" s="12"/>
      <c r="CL46" s="12"/>
      <c r="CM46" s="10"/>
      <c r="CO46" s="34"/>
      <c r="CP46" s="34">
        <v>4</v>
      </c>
      <c r="CQ46" s="37"/>
      <c r="CR46" s="37"/>
      <c r="CS46" s="37"/>
      <c r="CT46" s="34"/>
    </row>
    <row r="47" spans="1:98">
      <c r="A47" s="10"/>
      <c r="B47" s="10"/>
      <c r="C47" s="12">
        <v>0</v>
      </c>
      <c r="D47" s="12">
        <v>1</v>
      </c>
      <c r="E47" s="12"/>
      <c r="F47" s="10"/>
      <c r="G47" s="10"/>
      <c r="H47" s="10"/>
      <c r="I47" s="10"/>
      <c r="J47" s="10"/>
      <c r="L47" s="10"/>
      <c r="M47" s="10"/>
      <c r="N47" s="12">
        <v>1</v>
      </c>
      <c r="O47" s="12">
        <v>0</v>
      </c>
      <c r="P47" s="12"/>
      <c r="Q47" s="10"/>
      <c r="R47" s="10"/>
      <c r="S47" s="10"/>
      <c r="U47" s="10"/>
      <c r="V47" s="10"/>
      <c r="W47" s="12">
        <v>0</v>
      </c>
      <c r="X47" s="12">
        <v>2</v>
      </c>
      <c r="Y47" s="12"/>
      <c r="Z47" s="12"/>
      <c r="AA47" s="12"/>
      <c r="AB47" s="10"/>
      <c r="AD47" s="10"/>
      <c r="AE47" s="10"/>
      <c r="AF47" s="12">
        <v>0</v>
      </c>
      <c r="AG47" s="12">
        <v>2</v>
      </c>
      <c r="AH47" s="12"/>
      <c r="AI47" s="10"/>
      <c r="AJ47" s="10"/>
      <c r="AK47" s="10"/>
      <c r="AM47" s="10"/>
      <c r="AN47" s="10"/>
      <c r="AO47" s="12">
        <v>0</v>
      </c>
      <c r="AP47" s="12">
        <v>3</v>
      </c>
      <c r="AQ47" s="12"/>
      <c r="AR47" s="10"/>
      <c r="AT47" s="10"/>
      <c r="AU47" s="10"/>
      <c r="AV47" s="12">
        <v>0</v>
      </c>
      <c r="AW47" s="12">
        <v>1</v>
      </c>
      <c r="AX47" s="12"/>
      <c r="AY47" s="10"/>
      <c r="BA47" s="10"/>
      <c r="BB47" s="10"/>
      <c r="BC47" s="12">
        <v>0</v>
      </c>
      <c r="BD47" s="12">
        <v>1</v>
      </c>
      <c r="BE47" s="12"/>
      <c r="BF47" s="12"/>
      <c r="BH47" s="10"/>
      <c r="BI47" s="10"/>
      <c r="BJ47" s="12">
        <v>0</v>
      </c>
      <c r="BK47" s="12">
        <v>2</v>
      </c>
      <c r="BL47" s="12"/>
      <c r="BM47" s="12"/>
      <c r="BN47" s="12"/>
      <c r="BO47" s="10"/>
      <c r="BQ47" s="10"/>
      <c r="BR47" s="10"/>
      <c r="BS47" s="12">
        <v>0</v>
      </c>
      <c r="BT47" s="12">
        <v>1</v>
      </c>
      <c r="BU47" s="12"/>
      <c r="BV47" s="10"/>
      <c r="BX47" s="10"/>
      <c r="BY47" s="10"/>
      <c r="BZ47" s="12">
        <v>1</v>
      </c>
      <c r="CA47" s="12">
        <v>0</v>
      </c>
      <c r="CB47" s="12"/>
      <c r="CC47" s="10"/>
      <c r="CD47" s="10"/>
      <c r="CE47" s="10"/>
      <c r="CF47" s="10"/>
      <c r="CH47" s="10"/>
      <c r="CI47" s="10"/>
      <c r="CJ47" s="12"/>
      <c r="CK47" s="12"/>
      <c r="CL47" s="12"/>
      <c r="CM47" s="10"/>
      <c r="CO47" s="34"/>
      <c r="CP47" s="34"/>
      <c r="CQ47" s="37"/>
      <c r="CR47" s="37"/>
      <c r="CS47" s="37"/>
      <c r="CT47" s="34"/>
    </row>
    <row r="48" spans="1:98">
      <c r="A48" s="10" t="s">
        <v>108</v>
      </c>
      <c r="B48" s="10">
        <v>5</v>
      </c>
      <c r="C48" s="12" t="s">
        <v>47</v>
      </c>
      <c r="D48" s="12" t="s">
        <v>142</v>
      </c>
      <c r="E48" s="12"/>
      <c r="F48" s="10"/>
      <c r="G48" s="10"/>
      <c r="H48" s="10"/>
      <c r="I48" s="10"/>
      <c r="J48" s="10"/>
      <c r="L48" s="10" t="s">
        <v>139</v>
      </c>
      <c r="M48" s="10">
        <v>5</v>
      </c>
      <c r="N48" s="12" t="s">
        <v>51</v>
      </c>
      <c r="O48" s="12" t="s">
        <v>596</v>
      </c>
      <c r="P48" s="12"/>
      <c r="Q48" s="10"/>
      <c r="R48" s="10"/>
      <c r="S48" s="10"/>
      <c r="U48" s="10" t="s">
        <v>140</v>
      </c>
      <c r="V48" s="10">
        <v>5</v>
      </c>
      <c r="W48" s="12" t="s">
        <v>54</v>
      </c>
      <c r="X48" s="12" t="s">
        <v>156</v>
      </c>
      <c r="Y48" s="12"/>
      <c r="Z48" s="12"/>
      <c r="AA48" s="12"/>
      <c r="AB48" s="10"/>
      <c r="AD48" s="10" t="s">
        <v>87</v>
      </c>
      <c r="AE48" s="10">
        <v>5</v>
      </c>
      <c r="AF48" s="12" t="s">
        <v>83</v>
      </c>
      <c r="AG48" s="12" t="s">
        <v>84</v>
      </c>
      <c r="AH48" s="12"/>
      <c r="AI48" s="10"/>
      <c r="AJ48" s="10"/>
      <c r="AK48" s="10"/>
      <c r="AM48" s="10" t="s">
        <v>140</v>
      </c>
      <c r="AN48" s="10">
        <v>5</v>
      </c>
      <c r="AO48" s="12" t="s">
        <v>13</v>
      </c>
      <c r="AP48" s="12" t="s">
        <v>659</v>
      </c>
      <c r="AQ48" s="12"/>
      <c r="AR48" s="10"/>
      <c r="AT48" s="10" t="s">
        <v>666</v>
      </c>
      <c r="AU48" s="10">
        <v>5</v>
      </c>
      <c r="AV48" s="12" t="s">
        <v>64</v>
      </c>
      <c r="AW48" s="12" t="s">
        <v>70</v>
      </c>
      <c r="AX48" s="12" t="s">
        <v>38</v>
      </c>
      <c r="AY48" s="10"/>
      <c r="BA48" s="10" t="s">
        <v>275</v>
      </c>
      <c r="BB48" s="10">
        <v>5</v>
      </c>
      <c r="BC48" s="12" t="s">
        <v>49</v>
      </c>
      <c r="BD48" s="12" t="s">
        <v>83</v>
      </c>
      <c r="BE48" s="12" t="s">
        <v>47</v>
      </c>
      <c r="BF48" s="12"/>
      <c r="BH48" s="10" t="s">
        <v>306</v>
      </c>
      <c r="BI48" s="10">
        <v>5</v>
      </c>
      <c r="BJ48" s="12" t="s">
        <v>65</v>
      </c>
      <c r="BK48" s="12" t="s">
        <v>574</v>
      </c>
      <c r="BL48" s="12"/>
      <c r="BM48" s="12"/>
      <c r="BN48" s="12"/>
      <c r="BO48" s="10"/>
      <c r="BQ48" s="10"/>
      <c r="BR48" s="10">
        <v>5</v>
      </c>
      <c r="BS48" s="12" t="s">
        <v>56</v>
      </c>
      <c r="BT48" s="12" t="s">
        <v>112</v>
      </c>
      <c r="BU48" s="12"/>
      <c r="BV48" s="10"/>
      <c r="BX48" s="10" t="s">
        <v>805</v>
      </c>
      <c r="BY48" s="10">
        <v>5</v>
      </c>
      <c r="BZ48" s="12" t="s">
        <v>156</v>
      </c>
      <c r="CA48" s="12" t="s">
        <v>64</v>
      </c>
      <c r="CB48" s="12"/>
      <c r="CC48" s="10"/>
      <c r="CD48" s="10"/>
      <c r="CE48" s="10"/>
      <c r="CF48" s="10"/>
      <c r="CH48" s="10"/>
      <c r="CI48" s="10">
        <v>5</v>
      </c>
      <c r="CJ48" s="12"/>
      <c r="CK48" s="12"/>
      <c r="CL48" s="12"/>
      <c r="CM48" s="10"/>
      <c r="CO48" s="34"/>
      <c r="CP48" s="34">
        <v>5</v>
      </c>
      <c r="CQ48" s="37"/>
      <c r="CR48" s="37"/>
      <c r="CS48" s="37"/>
      <c r="CT48" s="34"/>
    </row>
    <row r="49" spans="1:98">
      <c r="A49" s="10"/>
      <c r="B49" s="10"/>
      <c r="C49" s="12">
        <v>0</v>
      </c>
      <c r="D49" s="12">
        <v>1</v>
      </c>
      <c r="E49" s="12"/>
      <c r="F49" s="10"/>
      <c r="G49" s="10"/>
      <c r="H49" s="10"/>
      <c r="I49" s="10"/>
      <c r="J49" s="10"/>
      <c r="L49" s="10"/>
      <c r="M49" s="10"/>
      <c r="N49" s="12">
        <v>0</v>
      </c>
      <c r="O49" s="12">
        <v>0</v>
      </c>
      <c r="P49" s="12"/>
      <c r="Q49" s="10"/>
      <c r="R49" s="10"/>
      <c r="S49" s="10"/>
      <c r="U49" s="10"/>
      <c r="V49" s="10"/>
      <c r="W49" s="12">
        <v>0</v>
      </c>
      <c r="X49" s="12">
        <v>1</v>
      </c>
      <c r="Y49" s="12"/>
      <c r="Z49" s="12"/>
      <c r="AA49" s="12"/>
      <c r="AB49" s="10"/>
      <c r="AD49" s="10" t="s">
        <v>815</v>
      </c>
      <c r="AE49" s="10"/>
      <c r="AF49" s="12">
        <v>2</v>
      </c>
      <c r="AG49" s="12">
        <v>0</v>
      </c>
      <c r="AH49" s="12"/>
      <c r="AI49" s="10"/>
      <c r="AJ49" s="10"/>
      <c r="AK49" s="10"/>
      <c r="AM49" s="10"/>
      <c r="AN49" s="10"/>
      <c r="AO49" s="12">
        <v>0</v>
      </c>
      <c r="AP49" s="12">
        <v>1</v>
      </c>
      <c r="AQ49" s="12"/>
      <c r="AR49" s="10"/>
      <c r="AT49" s="10"/>
      <c r="AU49" s="10"/>
      <c r="AV49" s="12">
        <v>0</v>
      </c>
      <c r="AW49" s="12">
        <v>1</v>
      </c>
      <c r="AX49" s="12">
        <v>0</v>
      </c>
      <c r="AY49" s="10"/>
      <c r="BA49" s="10"/>
      <c r="BB49" s="10"/>
      <c r="BC49" s="12">
        <v>0</v>
      </c>
      <c r="BD49" s="12">
        <v>1</v>
      </c>
      <c r="BE49" s="12">
        <v>0</v>
      </c>
      <c r="BF49" s="12"/>
      <c r="BH49" s="10"/>
      <c r="BI49" s="10"/>
      <c r="BJ49" s="12">
        <v>0</v>
      </c>
      <c r="BK49" s="12">
        <v>1</v>
      </c>
      <c r="BL49" s="12"/>
      <c r="BM49" s="12"/>
      <c r="BN49" s="12"/>
      <c r="BO49" s="10"/>
      <c r="BQ49" s="10"/>
      <c r="BR49" s="10"/>
      <c r="BS49" s="12">
        <v>0</v>
      </c>
      <c r="BT49" s="12">
        <v>2</v>
      </c>
      <c r="BU49" s="12"/>
      <c r="BV49" s="10"/>
      <c r="BX49" s="10"/>
      <c r="BY49" s="10"/>
      <c r="BZ49" s="12">
        <v>2</v>
      </c>
      <c r="CA49" s="12">
        <v>0</v>
      </c>
      <c r="CB49" s="12"/>
      <c r="CC49" s="10"/>
      <c r="CD49" s="10"/>
      <c r="CE49" s="10"/>
      <c r="CF49" s="10"/>
      <c r="CH49" s="10"/>
      <c r="CI49" s="10"/>
      <c r="CJ49" s="12"/>
      <c r="CK49" s="12"/>
      <c r="CL49" s="12"/>
      <c r="CM49" s="10"/>
      <c r="CO49" s="34"/>
      <c r="CP49" s="34"/>
      <c r="CQ49" s="37"/>
      <c r="CR49" s="37"/>
      <c r="CS49" s="37"/>
      <c r="CT49" s="34"/>
    </row>
    <row r="50" spans="1:98">
      <c r="C50" s="6"/>
      <c r="D50" s="6"/>
      <c r="N50" s="6"/>
      <c r="O50" s="6"/>
      <c r="W50" s="6"/>
      <c r="X50" s="6"/>
      <c r="AF50" s="6"/>
      <c r="AG50" s="6"/>
      <c r="AO50" s="6"/>
      <c r="AP50" s="6"/>
      <c r="AV50" s="6"/>
      <c r="AW50" s="6"/>
      <c r="BC50" s="6"/>
      <c r="BD50" s="6"/>
      <c r="BJ50" s="6"/>
      <c r="BK50" s="6"/>
      <c r="BS50" s="6"/>
      <c r="BT50" s="6"/>
      <c r="BZ50" s="6"/>
      <c r="CA50" s="6"/>
      <c r="CJ50" s="6"/>
      <c r="CK50" s="6"/>
      <c r="CO50" s="32"/>
      <c r="CP50" s="32"/>
      <c r="CQ50" s="33"/>
      <c r="CR50" s="33"/>
      <c r="CS50" s="32"/>
      <c r="CT50" s="32"/>
    </row>
    <row r="51" spans="1:98" ht="21">
      <c r="A51" s="7"/>
      <c r="B51" s="8" t="s">
        <v>73</v>
      </c>
      <c r="C51" s="28" t="s">
        <v>553</v>
      </c>
      <c r="D51" s="9"/>
      <c r="E51" s="7"/>
      <c r="F51" s="7"/>
      <c r="G51" s="7"/>
      <c r="H51" s="7"/>
      <c r="I51" s="7"/>
      <c r="J51" s="7"/>
      <c r="L51" s="7"/>
      <c r="M51" s="8" t="s">
        <v>73</v>
      </c>
      <c r="N51" s="28" t="s">
        <v>258</v>
      </c>
      <c r="O51" s="9"/>
      <c r="P51" s="7"/>
      <c r="Q51" s="7"/>
      <c r="R51" s="7"/>
      <c r="S51" s="7"/>
      <c r="U51" s="7"/>
      <c r="V51" s="8" t="s">
        <v>73</v>
      </c>
      <c r="W51" s="28" t="s">
        <v>465</v>
      </c>
      <c r="X51" s="9"/>
      <c r="Y51" s="7"/>
      <c r="Z51" s="7"/>
      <c r="AA51" s="7"/>
      <c r="AB51" s="7"/>
      <c r="AD51" s="7"/>
      <c r="AE51" s="8" t="s">
        <v>73</v>
      </c>
      <c r="AF51" s="28" t="s">
        <v>467</v>
      </c>
      <c r="AG51" s="9"/>
      <c r="AH51" s="7"/>
      <c r="AI51" s="7"/>
      <c r="AJ51" s="7"/>
      <c r="AK51" s="7"/>
      <c r="AM51" s="7"/>
      <c r="AN51" s="8" t="s">
        <v>73</v>
      </c>
      <c r="AO51" s="28" t="s">
        <v>121</v>
      </c>
      <c r="AP51" s="9"/>
      <c r="AQ51" s="7"/>
      <c r="AR51" s="7"/>
      <c r="AT51" s="7"/>
      <c r="AU51" s="8" t="s">
        <v>73</v>
      </c>
      <c r="AV51" s="28" t="s">
        <v>473</v>
      </c>
      <c r="AW51" s="9"/>
      <c r="AX51" s="7"/>
      <c r="AY51" s="7"/>
      <c r="BA51" s="7"/>
      <c r="BB51" s="8" t="s">
        <v>73</v>
      </c>
      <c r="BC51" s="28" t="s">
        <v>481</v>
      </c>
      <c r="BD51" s="9"/>
      <c r="BE51" s="7"/>
      <c r="BF51" s="9"/>
      <c r="BH51" s="7"/>
      <c r="BI51" s="8" t="s">
        <v>73</v>
      </c>
      <c r="BJ51" s="28" t="s">
        <v>810</v>
      </c>
      <c r="BK51" s="9"/>
      <c r="BL51" s="7"/>
      <c r="BM51" s="7"/>
      <c r="BN51" s="7"/>
      <c r="BO51" s="7"/>
      <c r="BQ51" s="7"/>
      <c r="BR51" s="8" t="s">
        <v>73</v>
      </c>
      <c r="BS51" s="28" t="s">
        <v>15</v>
      </c>
      <c r="BT51" s="9"/>
      <c r="BU51" s="7"/>
      <c r="BV51" s="7"/>
      <c r="BX51" s="7"/>
      <c r="BY51" s="8" t="s">
        <v>73</v>
      </c>
      <c r="BZ51" s="28" t="s">
        <v>501</v>
      </c>
      <c r="CA51" s="9"/>
      <c r="CB51" s="7"/>
      <c r="CC51" s="7"/>
      <c r="CD51" s="7"/>
      <c r="CE51" s="7"/>
      <c r="CF51" s="7"/>
      <c r="CH51" s="7"/>
      <c r="CI51" s="8" t="s">
        <v>73</v>
      </c>
      <c r="CJ51" s="28" t="s">
        <v>462</v>
      </c>
      <c r="CK51" s="9"/>
      <c r="CL51" s="7"/>
      <c r="CM51" s="7"/>
      <c r="CO51" s="38"/>
      <c r="CP51" s="39" t="s">
        <v>189</v>
      </c>
      <c r="CQ51" s="40" t="s">
        <v>495</v>
      </c>
      <c r="CR51" s="41"/>
      <c r="CS51" s="38"/>
      <c r="CT51" s="38"/>
    </row>
    <row r="52" spans="1:98">
      <c r="A52" s="7"/>
      <c r="B52" s="7">
        <v>1</v>
      </c>
      <c r="C52" s="9" t="s">
        <v>147</v>
      </c>
      <c r="D52" s="9" t="s">
        <v>15</v>
      </c>
      <c r="E52" s="9"/>
      <c r="F52" s="7"/>
      <c r="G52" s="7"/>
      <c r="H52" s="7"/>
      <c r="I52" s="7"/>
      <c r="J52" s="7"/>
      <c r="L52" s="7"/>
      <c r="M52" s="7">
        <v>1</v>
      </c>
      <c r="N52" s="9" t="s">
        <v>143</v>
      </c>
      <c r="O52" s="9" t="s">
        <v>10</v>
      </c>
      <c r="P52" s="9"/>
      <c r="Q52" s="7"/>
      <c r="R52" s="7"/>
      <c r="S52" s="7"/>
      <c r="U52" s="7"/>
      <c r="V52" s="7">
        <v>1</v>
      </c>
      <c r="W52" s="9" t="s">
        <v>545</v>
      </c>
      <c r="X52" s="9" t="s">
        <v>16</v>
      </c>
      <c r="Y52" s="9"/>
      <c r="Z52" s="9"/>
      <c r="AA52" s="9"/>
      <c r="AB52" s="7"/>
      <c r="AD52" s="7"/>
      <c r="AE52" s="7">
        <v>1</v>
      </c>
      <c r="AF52" s="9" t="s">
        <v>561</v>
      </c>
      <c r="AG52" s="9" t="s">
        <v>10</v>
      </c>
      <c r="AH52" s="9"/>
      <c r="AI52" s="7"/>
      <c r="AJ52" s="7"/>
      <c r="AK52" s="7"/>
      <c r="AM52" s="7"/>
      <c r="AN52" s="7">
        <v>1</v>
      </c>
      <c r="AO52" s="9" t="s">
        <v>647</v>
      </c>
      <c r="AP52" s="9" t="s">
        <v>10</v>
      </c>
      <c r="AQ52" s="9"/>
      <c r="AR52" s="7"/>
      <c r="AT52" s="7"/>
      <c r="AU52" s="7">
        <v>1</v>
      </c>
      <c r="AV52" s="9" t="s">
        <v>546</v>
      </c>
      <c r="AW52" s="9" t="s">
        <v>10</v>
      </c>
      <c r="AX52" s="9"/>
      <c r="AY52" s="7"/>
      <c r="BA52" s="7"/>
      <c r="BB52" s="7">
        <v>1</v>
      </c>
      <c r="BC52" s="9" t="s">
        <v>52</v>
      </c>
      <c r="BD52" s="9" t="s">
        <v>543</v>
      </c>
      <c r="BE52" s="9"/>
      <c r="BF52" s="9"/>
      <c r="BH52" s="7"/>
      <c r="BI52" s="7">
        <v>1</v>
      </c>
      <c r="BJ52" s="9" t="s">
        <v>15</v>
      </c>
      <c r="BK52" s="9" t="s">
        <v>547</v>
      </c>
      <c r="BL52" s="9"/>
      <c r="BM52" s="9"/>
      <c r="BN52" s="9"/>
      <c r="BO52" s="7"/>
      <c r="BQ52" s="7"/>
      <c r="BR52" s="7">
        <v>1</v>
      </c>
      <c r="BS52" s="9" t="s">
        <v>722</v>
      </c>
      <c r="BT52" s="9" t="s">
        <v>647</v>
      </c>
      <c r="BU52" s="7"/>
      <c r="BV52" s="7"/>
      <c r="BX52" s="7"/>
      <c r="BY52" s="7">
        <v>1</v>
      </c>
      <c r="BZ52" s="9" t="s">
        <v>10</v>
      </c>
      <c r="CA52" s="9" t="s">
        <v>123</v>
      </c>
      <c r="CB52" s="9"/>
      <c r="CC52" s="7"/>
      <c r="CD52" s="7"/>
      <c r="CE52" s="7"/>
      <c r="CF52" s="7"/>
      <c r="CH52" s="7"/>
      <c r="CI52" s="7">
        <v>1</v>
      </c>
      <c r="CJ52" s="9"/>
      <c r="CK52" s="9"/>
      <c r="CL52" s="9"/>
      <c r="CM52" s="7"/>
      <c r="CO52" s="38"/>
      <c r="CP52" s="38">
        <v>1</v>
      </c>
      <c r="CQ52" s="41"/>
      <c r="CR52" s="41"/>
      <c r="CS52" s="41"/>
      <c r="CT52" s="38"/>
    </row>
    <row r="53" spans="1:98">
      <c r="A53" s="7"/>
      <c r="B53" s="7"/>
      <c r="C53" s="9">
        <v>2</v>
      </c>
      <c r="D53" s="9">
        <v>0</v>
      </c>
      <c r="E53" s="9"/>
      <c r="F53" s="7"/>
      <c r="G53" s="7"/>
      <c r="H53" s="7"/>
      <c r="I53" s="7"/>
      <c r="J53" s="7"/>
      <c r="L53" s="7"/>
      <c r="M53" s="7"/>
      <c r="N53" s="9">
        <v>3</v>
      </c>
      <c r="O53" s="9">
        <v>0</v>
      </c>
      <c r="P53" s="9"/>
      <c r="Q53" s="7"/>
      <c r="R53" s="7"/>
      <c r="S53" s="7"/>
      <c r="U53" s="7"/>
      <c r="V53" s="7"/>
      <c r="W53" s="9">
        <v>3</v>
      </c>
      <c r="X53" s="9">
        <v>0</v>
      </c>
      <c r="Y53" s="9"/>
      <c r="Z53" s="9"/>
      <c r="AA53" s="9"/>
      <c r="AB53" s="7"/>
      <c r="AD53" s="7"/>
      <c r="AE53" s="7"/>
      <c r="AF53" s="9">
        <v>1</v>
      </c>
      <c r="AG53" s="9">
        <v>0</v>
      </c>
      <c r="AH53" s="9"/>
      <c r="AI53" s="7"/>
      <c r="AJ53" s="7"/>
      <c r="AK53" s="7"/>
      <c r="AM53" s="7"/>
      <c r="AN53" s="7"/>
      <c r="AO53" s="9">
        <v>2</v>
      </c>
      <c r="AP53" s="9">
        <v>0</v>
      </c>
      <c r="AQ53" s="9"/>
      <c r="AR53" s="7"/>
      <c r="AT53" s="7"/>
      <c r="AU53" s="7"/>
      <c r="AV53" s="9">
        <v>2</v>
      </c>
      <c r="AW53" s="9">
        <v>0</v>
      </c>
      <c r="AX53" s="9"/>
      <c r="AY53" s="7"/>
      <c r="BA53" s="7"/>
      <c r="BB53" s="7"/>
      <c r="BC53" s="9">
        <v>0</v>
      </c>
      <c r="BD53" s="9">
        <v>2</v>
      </c>
      <c r="BE53" s="9"/>
      <c r="BF53" s="9"/>
      <c r="BH53" s="7"/>
      <c r="BI53" s="7"/>
      <c r="BJ53" s="9">
        <v>0</v>
      </c>
      <c r="BK53" s="9">
        <v>2</v>
      </c>
      <c r="BL53" s="9"/>
      <c r="BM53" s="9"/>
      <c r="BN53" s="9"/>
      <c r="BO53" s="7"/>
      <c r="BQ53" s="7"/>
      <c r="BR53" s="7"/>
      <c r="BS53" s="9">
        <v>0</v>
      </c>
      <c r="BT53" s="9">
        <v>1</v>
      </c>
      <c r="BU53" s="7"/>
      <c r="BV53" s="7"/>
      <c r="BX53" s="7"/>
      <c r="BY53" s="7"/>
      <c r="BZ53" s="9">
        <v>0</v>
      </c>
      <c r="CA53" s="9">
        <v>3</v>
      </c>
      <c r="CB53" s="9"/>
      <c r="CC53" s="7"/>
      <c r="CD53" s="7"/>
      <c r="CE53" s="7"/>
      <c r="CF53" s="7"/>
      <c r="CH53" s="7"/>
      <c r="CI53" s="7"/>
      <c r="CJ53" s="9"/>
      <c r="CK53" s="9"/>
      <c r="CL53" s="9"/>
      <c r="CM53" s="7"/>
      <c r="CO53" s="38"/>
      <c r="CP53" s="38"/>
      <c r="CQ53" s="41"/>
      <c r="CR53" s="41"/>
      <c r="CS53" s="41"/>
      <c r="CT53" s="38"/>
    </row>
    <row r="54" spans="1:98">
      <c r="A54" s="7"/>
      <c r="B54" s="7">
        <v>2</v>
      </c>
      <c r="C54" s="9" t="s">
        <v>10</v>
      </c>
      <c r="D54" s="9" t="s">
        <v>561</v>
      </c>
      <c r="E54" s="9"/>
      <c r="F54" s="7"/>
      <c r="G54" s="7"/>
      <c r="H54" s="7"/>
      <c r="I54" s="7"/>
      <c r="J54" s="7"/>
      <c r="L54" s="7" t="s">
        <v>136</v>
      </c>
      <c r="M54" s="7">
        <v>2</v>
      </c>
      <c r="N54" s="9" t="s">
        <v>735</v>
      </c>
      <c r="O54" s="23" t="s">
        <v>560</v>
      </c>
      <c r="P54" s="9" t="s">
        <v>21</v>
      </c>
      <c r="Q54" s="9" t="s">
        <v>326</v>
      </c>
      <c r="R54" s="7"/>
      <c r="S54" s="7"/>
      <c r="U54" s="7"/>
      <c r="V54" s="7">
        <v>2</v>
      </c>
      <c r="W54" s="9" t="s">
        <v>561</v>
      </c>
      <c r="X54" s="9" t="s">
        <v>15</v>
      </c>
      <c r="Y54" s="9"/>
      <c r="Z54" s="9"/>
      <c r="AA54" s="9"/>
      <c r="AB54" s="7"/>
      <c r="AD54" s="7"/>
      <c r="AE54" s="7">
        <v>2</v>
      </c>
      <c r="AF54" s="9" t="s">
        <v>16</v>
      </c>
      <c r="AG54" s="9" t="s">
        <v>147</v>
      </c>
      <c r="AH54" s="9"/>
      <c r="AI54" s="7"/>
      <c r="AJ54" s="7"/>
      <c r="AK54" s="7"/>
      <c r="AM54" s="7"/>
      <c r="AN54" s="7">
        <v>2</v>
      </c>
      <c r="AO54" s="9" t="s">
        <v>62</v>
      </c>
      <c r="AP54" s="9" t="s">
        <v>124</v>
      </c>
      <c r="AQ54" s="9"/>
      <c r="AR54" s="7"/>
      <c r="AT54" s="7"/>
      <c r="AU54" s="7">
        <v>2</v>
      </c>
      <c r="AV54" s="9" t="s">
        <v>166</v>
      </c>
      <c r="AW54" s="9" t="s">
        <v>39</v>
      </c>
      <c r="AX54" s="9"/>
      <c r="AY54" s="7"/>
      <c r="BA54" s="7" t="s">
        <v>271</v>
      </c>
      <c r="BB54" s="7">
        <v>2</v>
      </c>
      <c r="BC54" s="9" t="s">
        <v>577</v>
      </c>
      <c r="BD54" s="9" t="s">
        <v>11</v>
      </c>
      <c r="BE54" s="9"/>
      <c r="BF54" s="9"/>
      <c r="BH54" s="7"/>
      <c r="BI54" s="7">
        <v>2</v>
      </c>
      <c r="BJ54" s="9" t="s">
        <v>166</v>
      </c>
      <c r="BK54" s="9" t="s">
        <v>10</v>
      </c>
      <c r="BL54" s="9"/>
      <c r="BM54" s="9"/>
      <c r="BN54" s="9"/>
      <c r="BO54" s="7"/>
      <c r="BQ54" s="7"/>
      <c r="BR54" s="7">
        <v>2</v>
      </c>
      <c r="BS54" s="9" t="s">
        <v>81</v>
      </c>
      <c r="BT54" s="9" t="s">
        <v>77</v>
      </c>
      <c r="BU54" s="7"/>
      <c r="BV54" s="7"/>
      <c r="BX54" s="7"/>
      <c r="BY54" s="7">
        <v>2</v>
      </c>
      <c r="BZ54" s="9" t="s">
        <v>546</v>
      </c>
      <c r="CA54" s="9" t="s">
        <v>77</v>
      </c>
      <c r="CB54" s="9"/>
      <c r="CC54" s="7"/>
      <c r="CD54" s="7"/>
      <c r="CE54" s="7"/>
      <c r="CF54" s="7"/>
      <c r="CH54" s="7"/>
      <c r="CI54" s="7">
        <v>2</v>
      </c>
      <c r="CJ54" s="9"/>
      <c r="CK54" s="9"/>
      <c r="CL54" s="9"/>
      <c r="CM54" s="7"/>
      <c r="CO54" s="38"/>
      <c r="CP54" s="38">
        <v>2</v>
      </c>
      <c r="CQ54" s="41"/>
      <c r="CR54" s="41"/>
      <c r="CS54" s="41"/>
      <c r="CT54" s="38"/>
    </row>
    <row r="55" spans="1:98">
      <c r="A55" s="7"/>
      <c r="B55" s="7"/>
      <c r="C55" s="9">
        <v>0</v>
      </c>
      <c r="D55" s="9">
        <v>1</v>
      </c>
      <c r="E55" s="9"/>
      <c r="F55" s="7"/>
      <c r="G55" s="7"/>
      <c r="H55" s="7"/>
      <c r="I55" s="7"/>
      <c r="J55" s="7"/>
      <c r="L55" s="7"/>
      <c r="M55" s="7"/>
      <c r="N55" s="9">
        <v>0</v>
      </c>
      <c r="O55" s="9">
        <v>1</v>
      </c>
      <c r="P55" s="9">
        <v>0</v>
      </c>
      <c r="Q55" s="9">
        <v>0</v>
      </c>
      <c r="R55" s="7"/>
      <c r="S55" s="7"/>
      <c r="U55" s="7"/>
      <c r="V55" s="7"/>
      <c r="W55" s="9">
        <v>1</v>
      </c>
      <c r="X55" s="9">
        <v>0</v>
      </c>
      <c r="Y55" s="9"/>
      <c r="Z55" s="9"/>
      <c r="AA55" s="9"/>
      <c r="AB55" s="7"/>
      <c r="AD55" s="7"/>
      <c r="AE55" s="7"/>
      <c r="AF55" s="9">
        <v>0</v>
      </c>
      <c r="AG55" s="9">
        <v>2</v>
      </c>
      <c r="AH55" s="9"/>
      <c r="AI55" s="7"/>
      <c r="AJ55" s="7"/>
      <c r="AK55" s="7"/>
      <c r="AM55" s="7"/>
      <c r="AN55" s="7"/>
      <c r="AO55" s="9">
        <v>0</v>
      </c>
      <c r="AP55" s="9">
        <v>1</v>
      </c>
      <c r="AQ55" s="9"/>
      <c r="AR55" s="7"/>
      <c r="AT55" s="7"/>
      <c r="AU55" s="7"/>
      <c r="AV55" s="9">
        <v>1</v>
      </c>
      <c r="AW55" s="9">
        <v>0</v>
      </c>
      <c r="AX55" s="9"/>
      <c r="AY55" s="7"/>
      <c r="BA55" s="7"/>
      <c r="BB55" s="7"/>
      <c r="BC55" s="9">
        <v>2</v>
      </c>
      <c r="BD55" s="9">
        <v>0</v>
      </c>
      <c r="BE55" s="9"/>
      <c r="BF55" s="9"/>
      <c r="BH55" s="7"/>
      <c r="BI55" s="7"/>
      <c r="BJ55" s="9">
        <v>3</v>
      </c>
      <c r="BK55" s="9">
        <v>0</v>
      </c>
      <c r="BL55" s="9"/>
      <c r="BM55" s="9"/>
      <c r="BN55" s="9"/>
      <c r="BO55" s="7"/>
      <c r="BQ55" s="7"/>
      <c r="BR55" s="7"/>
      <c r="BS55" s="9">
        <v>3</v>
      </c>
      <c r="BT55" s="9">
        <v>0</v>
      </c>
      <c r="BU55" s="7"/>
      <c r="BV55" s="7"/>
      <c r="BX55" s="7"/>
      <c r="BY55" s="7"/>
      <c r="BZ55" s="9">
        <v>2</v>
      </c>
      <c r="CA55" s="9">
        <v>0</v>
      </c>
      <c r="CB55" s="9"/>
      <c r="CC55" s="7"/>
      <c r="CD55" s="7"/>
      <c r="CE55" s="7"/>
      <c r="CF55" s="7"/>
      <c r="CH55" s="7"/>
      <c r="CI55" s="7"/>
      <c r="CJ55" s="9"/>
      <c r="CK55" s="9"/>
      <c r="CL55" s="9"/>
      <c r="CM55" s="7"/>
      <c r="CO55" s="38"/>
      <c r="CP55" s="38"/>
      <c r="CQ55" s="41"/>
      <c r="CR55" s="41"/>
      <c r="CS55" s="41"/>
      <c r="CT55" s="38"/>
    </row>
    <row r="56" spans="1:98">
      <c r="A56" s="7"/>
      <c r="B56" s="7">
        <v>3</v>
      </c>
      <c r="C56" s="9" t="s">
        <v>531</v>
      </c>
      <c r="D56" s="9" t="s">
        <v>75</v>
      </c>
      <c r="E56" s="7"/>
      <c r="F56" s="7"/>
      <c r="G56" s="7"/>
      <c r="H56" s="7"/>
      <c r="I56" s="7"/>
      <c r="J56" s="7"/>
      <c r="L56" s="7"/>
      <c r="M56" s="7">
        <v>3</v>
      </c>
      <c r="N56" s="9" t="s">
        <v>549</v>
      </c>
      <c r="O56" s="9" t="s">
        <v>50</v>
      </c>
      <c r="P56" s="7"/>
      <c r="Q56" s="7"/>
      <c r="R56" s="7"/>
      <c r="S56" s="7"/>
      <c r="U56" s="7"/>
      <c r="V56" s="7">
        <v>3</v>
      </c>
      <c r="W56" s="9" t="s">
        <v>10</v>
      </c>
      <c r="X56" s="9" t="s">
        <v>169</v>
      </c>
      <c r="Y56" s="7"/>
      <c r="Z56" s="7"/>
      <c r="AA56" s="7"/>
      <c r="AB56" s="7"/>
      <c r="AD56" s="7" t="s">
        <v>220</v>
      </c>
      <c r="AE56" s="7">
        <v>3</v>
      </c>
      <c r="AF56" s="9" t="s">
        <v>58</v>
      </c>
      <c r="AG56" s="9" t="s">
        <v>118</v>
      </c>
      <c r="AH56" s="7"/>
      <c r="AI56" s="7"/>
      <c r="AJ56" s="7"/>
      <c r="AK56" s="7"/>
      <c r="AM56" s="7" t="s">
        <v>327</v>
      </c>
      <c r="AN56" s="7">
        <v>3</v>
      </c>
      <c r="AO56" s="9" t="s">
        <v>43</v>
      </c>
      <c r="AP56" s="23" t="s">
        <v>78</v>
      </c>
      <c r="AQ56" s="9" t="s">
        <v>566</v>
      </c>
      <c r="AR56" s="9" t="s">
        <v>88</v>
      </c>
      <c r="AT56" s="7" t="s">
        <v>778</v>
      </c>
      <c r="AU56" s="7">
        <v>3</v>
      </c>
      <c r="AV56" s="9" t="s">
        <v>41</v>
      </c>
      <c r="AW56" s="9" t="s">
        <v>142</v>
      </c>
      <c r="AX56" s="7"/>
      <c r="AY56" s="7"/>
      <c r="BA56" s="7" t="s">
        <v>272</v>
      </c>
      <c r="BB56" s="7">
        <v>3</v>
      </c>
      <c r="BC56" s="9" t="s">
        <v>77</v>
      </c>
      <c r="BD56" s="9" t="s">
        <v>546</v>
      </c>
      <c r="BE56" s="7"/>
      <c r="BF56" s="9"/>
      <c r="BH56" s="7" t="s">
        <v>654</v>
      </c>
      <c r="BI56" s="7">
        <v>3</v>
      </c>
      <c r="BJ56" s="9" t="s">
        <v>169</v>
      </c>
      <c r="BK56" s="9" t="s">
        <v>71</v>
      </c>
      <c r="BL56" s="9" t="s">
        <v>722</v>
      </c>
      <c r="BM56" s="9" t="s">
        <v>23</v>
      </c>
      <c r="BN56" s="7"/>
      <c r="BO56" s="7"/>
      <c r="BQ56" s="7" t="s">
        <v>327</v>
      </c>
      <c r="BR56" s="7">
        <v>3</v>
      </c>
      <c r="BS56" s="9" t="s">
        <v>169</v>
      </c>
      <c r="BT56" s="23" t="s">
        <v>71</v>
      </c>
      <c r="BU56" s="9" t="s">
        <v>8</v>
      </c>
      <c r="BV56" s="9" t="s">
        <v>290</v>
      </c>
      <c r="BX56" s="7"/>
      <c r="BY56" s="7">
        <v>3</v>
      </c>
      <c r="BZ56" s="9" t="s">
        <v>561</v>
      </c>
      <c r="CA56" s="9" t="s">
        <v>62</v>
      </c>
      <c r="CB56" s="7"/>
      <c r="CC56" s="7"/>
      <c r="CD56" s="7"/>
      <c r="CE56" s="7"/>
      <c r="CF56" s="7"/>
      <c r="CH56" s="7"/>
      <c r="CI56" s="7">
        <v>3</v>
      </c>
      <c r="CJ56" s="9"/>
      <c r="CK56" s="9"/>
      <c r="CL56" s="7"/>
      <c r="CM56" s="7"/>
      <c r="CO56" s="38"/>
      <c r="CP56" s="38">
        <v>3</v>
      </c>
      <c r="CQ56" s="41"/>
      <c r="CR56" s="41"/>
      <c r="CS56" s="38"/>
      <c r="CT56" s="38"/>
    </row>
    <row r="57" spans="1:98">
      <c r="A57" s="7"/>
      <c r="B57" s="7"/>
      <c r="C57" s="9">
        <v>0</v>
      </c>
      <c r="D57" s="9">
        <v>1</v>
      </c>
      <c r="E57" s="9"/>
      <c r="F57" s="7"/>
      <c r="G57" s="7"/>
      <c r="H57" s="7"/>
      <c r="I57" s="7"/>
      <c r="J57" s="7"/>
      <c r="L57" s="7"/>
      <c r="M57" s="7"/>
      <c r="N57" s="9">
        <v>2</v>
      </c>
      <c r="O57" s="9">
        <v>0</v>
      </c>
      <c r="P57" s="9"/>
      <c r="Q57" s="7"/>
      <c r="R57" s="7"/>
      <c r="S57" s="7"/>
      <c r="U57" s="7"/>
      <c r="V57" s="7"/>
      <c r="W57" s="9">
        <v>0</v>
      </c>
      <c r="X57" s="9">
        <v>3</v>
      </c>
      <c r="Y57" s="9"/>
      <c r="Z57" s="9"/>
      <c r="AA57" s="9"/>
      <c r="AB57" s="7"/>
      <c r="AD57" s="7"/>
      <c r="AE57" s="7"/>
      <c r="AF57" s="9">
        <v>0</v>
      </c>
      <c r="AG57" s="9">
        <v>2</v>
      </c>
      <c r="AH57" s="9"/>
      <c r="AI57" s="7"/>
      <c r="AJ57" s="7"/>
      <c r="AK57" s="7"/>
      <c r="AM57" s="7"/>
      <c r="AN57" s="7"/>
      <c r="AO57" s="9">
        <v>0</v>
      </c>
      <c r="AP57" s="9">
        <v>0</v>
      </c>
      <c r="AQ57" s="9">
        <v>0</v>
      </c>
      <c r="AR57" s="9">
        <v>1</v>
      </c>
      <c r="AT57" s="7" t="s">
        <v>779</v>
      </c>
      <c r="AU57" s="7"/>
      <c r="AV57" s="9">
        <v>0</v>
      </c>
      <c r="AW57" s="9">
        <v>1</v>
      </c>
      <c r="AX57" s="9"/>
      <c r="AY57" s="7"/>
      <c r="BA57" s="7"/>
      <c r="BB57" s="7"/>
      <c r="BC57" s="9">
        <v>0</v>
      </c>
      <c r="BD57" s="9">
        <v>1</v>
      </c>
      <c r="BE57" s="9"/>
      <c r="BF57" s="9"/>
      <c r="BH57" s="7"/>
      <c r="BI57" s="7"/>
      <c r="BJ57" s="9">
        <v>1</v>
      </c>
      <c r="BK57" s="23">
        <v>1</v>
      </c>
      <c r="BL57" s="9">
        <v>0</v>
      </c>
      <c r="BM57" s="9">
        <v>0</v>
      </c>
      <c r="BN57" s="9"/>
      <c r="BO57" s="7"/>
      <c r="BQ57" s="7"/>
      <c r="BR57" s="7"/>
      <c r="BS57" s="9">
        <v>1</v>
      </c>
      <c r="BT57" s="9">
        <v>2</v>
      </c>
      <c r="BU57" s="9">
        <v>0</v>
      </c>
      <c r="BV57" s="9">
        <v>0</v>
      </c>
      <c r="BX57" s="7"/>
      <c r="BY57" s="7"/>
      <c r="BZ57" s="9">
        <v>3</v>
      </c>
      <c r="CA57" s="9">
        <v>0</v>
      </c>
      <c r="CB57" s="9"/>
      <c r="CC57" s="7"/>
      <c r="CD57" s="7"/>
      <c r="CE57" s="7"/>
      <c r="CF57" s="7"/>
      <c r="CH57" s="7"/>
      <c r="CI57" s="7"/>
      <c r="CJ57" s="9"/>
      <c r="CK57" s="9"/>
      <c r="CL57" s="9"/>
      <c r="CM57" s="7"/>
      <c r="CO57" s="38"/>
      <c r="CP57" s="38"/>
      <c r="CQ57" s="41"/>
      <c r="CR57" s="41"/>
      <c r="CS57" s="41"/>
      <c r="CT57" s="38"/>
    </row>
    <row r="58" spans="1:98">
      <c r="A58" s="7" t="s">
        <v>108</v>
      </c>
      <c r="B58" s="7">
        <v>4</v>
      </c>
      <c r="C58" s="9" t="s">
        <v>446</v>
      </c>
      <c r="D58" s="9" t="s">
        <v>723</v>
      </c>
      <c r="E58" s="9"/>
      <c r="F58" s="7"/>
      <c r="G58" s="7"/>
      <c r="H58" s="7"/>
      <c r="I58" s="7"/>
      <c r="J58" s="7"/>
      <c r="L58" s="7" t="s">
        <v>157</v>
      </c>
      <c r="M58" s="7">
        <v>4</v>
      </c>
      <c r="N58" s="9" t="s">
        <v>546</v>
      </c>
      <c r="O58" s="9" t="s">
        <v>58</v>
      </c>
      <c r="P58" s="9"/>
      <c r="Q58" s="7"/>
      <c r="R58" s="7"/>
      <c r="S58" s="7"/>
      <c r="U58" s="7" t="s">
        <v>157</v>
      </c>
      <c r="V58" s="7">
        <v>4</v>
      </c>
      <c r="W58" s="9" t="s">
        <v>96</v>
      </c>
      <c r="X58" s="9" t="s">
        <v>77</v>
      </c>
      <c r="Y58" s="9"/>
      <c r="Z58" s="9"/>
      <c r="AA58" s="9"/>
      <c r="AB58" s="7"/>
      <c r="AD58" s="7" t="s">
        <v>220</v>
      </c>
      <c r="AE58" s="7">
        <v>4</v>
      </c>
      <c r="AF58" s="9" t="s">
        <v>721</v>
      </c>
      <c r="AG58" s="9" t="s">
        <v>75</v>
      </c>
      <c r="AH58" s="9"/>
      <c r="AI58" s="7"/>
      <c r="AJ58" s="7"/>
      <c r="AK58" s="7"/>
      <c r="AM58" s="7"/>
      <c r="AN58" s="7">
        <v>4</v>
      </c>
      <c r="AO58" s="9" t="s">
        <v>112</v>
      </c>
      <c r="AP58" s="9" t="s">
        <v>17</v>
      </c>
      <c r="AQ58" s="9"/>
      <c r="AR58" s="7"/>
      <c r="AT58" s="7"/>
      <c r="AU58" s="7">
        <v>4</v>
      </c>
      <c r="AV58" s="9" t="s">
        <v>11</v>
      </c>
      <c r="AW58" s="9" t="s">
        <v>543</v>
      </c>
      <c r="AX58" s="9"/>
      <c r="AY58" s="7"/>
      <c r="BA58" s="7" t="s">
        <v>273</v>
      </c>
      <c r="BB58" s="7">
        <v>4</v>
      </c>
      <c r="BC58" s="9" t="s">
        <v>82</v>
      </c>
      <c r="BD58" s="9" t="s">
        <v>545</v>
      </c>
      <c r="BE58" s="9"/>
      <c r="BF58" s="9"/>
      <c r="BH58" s="7" t="s">
        <v>310</v>
      </c>
      <c r="BI58" s="7">
        <v>4</v>
      </c>
      <c r="BJ58" s="9" t="s">
        <v>543</v>
      </c>
      <c r="BK58" s="9" t="s">
        <v>11</v>
      </c>
      <c r="BL58" s="9"/>
      <c r="BM58" s="9"/>
      <c r="BN58" s="9"/>
      <c r="BO58" s="7"/>
      <c r="BQ58" s="7" t="s">
        <v>200</v>
      </c>
      <c r="BR58" s="7">
        <v>4</v>
      </c>
      <c r="BS58" s="9" t="s">
        <v>17</v>
      </c>
      <c r="BT58" s="9" t="s">
        <v>545</v>
      </c>
      <c r="BU58" s="7"/>
      <c r="BV58" s="7"/>
      <c r="BX58" s="7" t="s">
        <v>157</v>
      </c>
      <c r="BY58" s="7">
        <v>4</v>
      </c>
      <c r="BZ58" s="9" t="s">
        <v>81</v>
      </c>
      <c r="CA58" s="9" t="s">
        <v>532</v>
      </c>
      <c r="CB58" s="9"/>
      <c r="CC58" s="7"/>
      <c r="CD58" s="7"/>
      <c r="CE58" s="7"/>
      <c r="CF58" s="7"/>
      <c r="CH58" s="7"/>
      <c r="CI58" s="7">
        <v>4</v>
      </c>
      <c r="CJ58" s="9"/>
      <c r="CK58" s="9"/>
      <c r="CL58" s="9"/>
      <c r="CM58" s="7"/>
      <c r="CO58" s="38"/>
      <c r="CP58" s="38">
        <v>4</v>
      </c>
      <c r="CQ58" s="41"/>
      <c r="CR58" s="41"/>
      <c r="CS58" s="41"/>
      <c r="CT58" s="38"/>
    </row>
    <row r="59" spans="1:98">
      <c r="A59" s="7"/>
      <c r="B59" s="7"/>
      <c r="C59" s="9">
        <v>0</v>
      </c>
      <c r="D59" s="9">
        <v>2</v>
      </c>
      <c r="E59" s="9"/>
      <c r="F59" s="7"/>
      <c r="G59" s="7"/>
      <c r="H59" s="7"/>
      <c r="I59" s="7"/>
      <c r="J59" s="7"/>
      <c r="L59" s="7" t="s">
        <v>851</v>
      </c>
      <c r="M59" s="7"/>
      <c r="N59" s="9">
        <v>1</v>
      </c>
      <c r="O59" s="9">
        <v>0</v>
      </c>
      <c r="P59" s="9"/>
      <c r="Q59" s="7"/>
      <c r="R59" s="7"/>
      <c r="S59" s="7"/>
      <c r="U59" s="7"/>
      <c r="V59" s="7"/>
      <c r="W59" s="9">
        <v>2</v>
      </c>
      <c r="X59" s="9">
        <v>0</v>
      </c>
      <c r="Y59" s="9"/>
      <c r="Z59" s="9"/>
      <c r="AA59" s="9"/>
      <c r="AB59" s="7"/>
      <c r="AD59" s="7"/>
      <c r="AE59" s="7"/>
      <c r="AF59" s="9">
        <v>0</v>
      </c>
      <c r="AG59" s="9">
        <v>1</v>
      </c>
      <c r="AH59" s="9"/>
      <c r="AI59" s="7"/>
      <c r="AJ59" s="7"/>
      <c r="AK59" s="7"/>
      <c r="AM59" s="7"/>
      <c r="AN59" s="7"/>
      <c r="AO59" s="9">
        <v>1</v>
      </c>
      <c r="AP59" s="9">
        <v>0</v>
      </c>
      <c r="AQ59" s="9"/>
      <c r="AR59" s="7"/>
      <c r="AT59" s="7"/>
      <c r="AU59" s="7"/>
      <c r="AV59" s="9">
        <v>0</v>
      </c>
      <c r="AW59" s="9">
        <v>1</v>
      </c>
      <c r="AX59" s="9"/>
      <c r="AY59" s="7"/>
      <c r="BA59" s="7"/>
      <c r="BB59" s="7"/>
      <c r="BC59" s="9">
        <v>0</v>
      </c>
      <c r="BD59" s="9">
        <v>2</v>
      </c>
      <c r="BE59" s="9"/>
      <c r="BF59" s="9"/>
      <c r="BH59" s="7" t="s">
        <v>729</v>
      </c>
      <c r="BI59" s="7"/>
      <c r="BJ59" s="9">
        <v>1</v>
      </c>
      <c r="BK59" s="9">
        <v>0</v>
      </c>
      <c r="BL59" s="9"/>
      <c r="BM59" s="9"/>
      <c r="BN59" s="9"/>
      <c r="BO59" s="7"/>
      <c r="BQ59" s="7" t="s">
        <v>736</v>
      </c>
      <c r="BR59" s="7"/>
      <c r="BS59" s="9">
        <v>-2</v>
      </c>
      <c r="BT59" s="9">
        <v>2</v>
      </c>
      <c r="BU59" s="7"/>
      <c r="BV59" s="7"/>
      <c r="BX59" s="7" t="s">
        <v>806</v>
      </c>
      <c r="BY59" s="7"/>
      <c r="BZ59" s="9">
        <v>1</v>
      </c>
      <c r="CA59" s="9">
        <v>0</v>
      </c>
      <c r="CB59" s="9"/>
      <c r="CC59" s="7"/>
      <c r="CD59" s="7"/>
      <c r="CE59" s="7"/>
      <c r="CF59" s="7"/>
      <c r="CH59" s="7"/>
      <c r="CI59" s="7"/>
      <c r="CJ59" s="9"/>
      <c r="CK59" s="9"/>
      <c r="CL59" s="9"/>
      <c r="CM59" s="7"/>
      <c r="CO59" s="38"/>
      <c r="CP59" s="38"/>
      <c r="CQ59" s="41"/>
      <c r="CR59" s="41"/>
      <c r="CS59" s="41"/>
      <c r="CT59" s="38"/>
    </row>
    <row r="60" spans="1:98">
      <c r="A60" s="7" t="s">
        <v>223</v>
      </c>
      <c r="B60" s="7">
        <v>5</v>
      </c>
      <c r="C60" s="9" t="s">
        <v>118</v>
      </c>
      <c r="D60" s="9" t="s">
        <v>82</v>
      </c>
      <c r="E60" s="9"/>
      <c r="F60" s="7"/>
      <c r="G60" s="7"/>
      <c r="H60" s="7"/>
      <c r="I60" s="7"/>
      <c r="J60" s="7"/>
      <c r="L60" s="7"/>
      <c r="M60" s="7">
        <v>5</v>
      </c>
      <c r="N60" s="9" t="s">
        <v>64</v>
      </c>
      <c r="O60" s="9" t="s">
        <v>723</v>
      </c>
      <c r="P60" s="9"/>
      <c r="Q60" s="7"/>
      <c r="R60" s="7"/>
      <c r="S60" s="7"/>
      <c r="U60" s="7" t="s">
        <v>223</v>
      </c>
      <c r="V60" s="7">
        <v>5</v>
      </c>
      <c r="W60" s="9" t="s">
        <v>549</v>
      </c>
      <c r="X60" s="9" t="s">
        <v>55</v>
      </c>
      <c r="Y60" s="9"/>
      <c r="Z60" s="9"/>
      <c r="AA60" s="9"/>
      <c r="AB60" s="7"/>
      <c r="AD60" s="7" t="s">
        <v>223</v>
      </c>
      <c r="AE60" s="7">
        <v>5</v>
      </c>
      <c r="AF60" s="9" t="s">
        <v>3</v>
      </c>
      <c r="AG60" s="9" t="s">
        <v>112</v>
      </c>
      <c r="AH60" s="9"/>
      <c r="AI60" s="7"/>
      <c r="AJ60" s="7"/>
      <c r="AK60" s="7"/>
      <c r="AM60" s="7" t="s">
        <v>200</v>
      </c>
      <c r="AN60" s="7">
        <v>5</v>
      </c>
      <c r="AO60" s="9" t="s">
        <v>147</v>
      </c>
      <c r="AP60" s="9" t="s">
        <v>58</v>
      </c>
      <c r="AQ60" s="9"/>
      <c r="AR60" s="7"/>
      <c r="AT60" s="7"/>
      <c r="AU60" s="7">
        <v>5</v>
      </c>
      <c r="AV60" s="9" t="s">
        <v>3</v>
      </c>
      <c r="AW60" s="9" t="s">
        <v>588</v>
      </c>
      <c r="AX60" s="9"/>
      <c r="AY60" s="7"/>
      <c r="BA60" s="7" t="s">
        <v>275</v>
      </c>
      <c r="BB60" s="7">
        <v>5</v>
      </c>
      <c r="BC60" s="9" t="s">
        <v>549</v>
      </c>
      <c r="BD60" s="9" t="s">
        <v>46</v>
      </c>
      <c r="BE60" s="9" t="s">
        <v>532</v>
      </c>
      <c r="BF60" s="9"/>
      <c r="BH60" s="7" t="s">
        <v>309</v>
      </c>
      <c r="BI60" s="7">
        <v>5</v>
      </c>
      <c r="BJ60" s="9" t="s">
        <v>123</v>
      </c>
      <c r="BK60" s="9" t="s">
        <v>82</v>
      </c>
      <c r="BL60" s="9"/>
      <c r="BM60" s="9"/>
      <c r="BN60" s="9"/>
      <c r="BO60" s="7"/>
      <c r="BQ60" s="7"/>
      <c r="BR60" s="7">
        <v>5</v>
      </c>
      <c r="BS60" s="9" t="s">
        <v>123</v>
      </c>
      <c r="BT60" s="9" t="s">
        <v>84</v>
      </c>
      <c r="BU60" s="7"/>
      <c r="BV60" s="7"/>
      <c r="BX60" s="7" t="s">
        <v>223</v>
      </c>
      <c r="BY60" s="7">
        <v>5</v>
      </c>
      <c r="BZ60" s="9" t="s">
        <v>67</v>
      </c>
      <c r="CA60" s="9" t="s">
        <v>166</v>
      </c>
      <c r="CB60" s="9"/>
      <c r="CC60" s="7"/>
      <c r="CD60" s="7"/>
      <c r="CE60" s="7"/>
      <c r="CF60" s="7"/>
      <c r="CH60" s="7"/>
      <c r="CI60" s="7">
        <v>5</v>
      </c>
      <c r="CJ60" s="9"/>
      <c r="CK60" s="9"/>
      <c r="CL60" s="9"/>
      <c r="CM60" s="7"/>
      <c r="CO60" s="38"/>
      <c r="CP60" s="38">
        <v>5</v>
      </c>
      <c r="CQ60" s="41"/>
      <c r="CR60" s="41"/>
      <c r="CS60" s="41"/>
      <c r="CT60" s="38"/>
    </row>
    <row r="61" spans="1:98">
      <c r="A61" s="7"/>
      <c r="B61" s="7"/>
      <c r="C61" s="9">
        <v>2</v>
      </c>
      <c r="D61" s="9">
        <v>0</v>
      </c>
      <c r="E61" s="9"/>
      <c r="F61" s="7"/>
      <c r="G61" s="7"/>
      <c r="H61" s="7"/>
      <c r="I61" s="7"/>
      <c r="J61" s="7"/>
      <c r="L61" s="7"/>
      <c r="M61" s="7"/>
      <c r="N61" s="9">
        <v>0</v>
      </c>
      <c r="O61" s="9">
        <v>2</v>
      </c>
      <c r="P61" s="9"/>
      <c r="Q61" s="7"/>
      <c r="R61" s="7"/>
      <c r="S61" s="7"/>
      <c r="U61" s="7"/>
      <c r="V61" s="7"/>
      <c r="W61" s="9">
        <v>2</v>
      </c>
      <c r="X61" s="9">
        <v>0</v>
      </c>
      <c r="Y61" s="9"/>
      <c r="Z61" s="9"/>
      <c r="AA61" s="9"/>
      <c r="AB61" s="7"/>
      <c r="AD61" s="7"/>
      <c r="AE61" s="7"/>
      <c r="AF61" s="9">
        <v>0</v>
      </c>
      <c r="AG61" s="9">
        <v>1</v>
      </c>
      <c r="AH61" s="9"/>
      <c r="AI61" s="7"/>
      <c r="AJ61" s="7"/>
      <c r="AK61" s="7"/>
      <c r="AM61" s="7" t="s">
        <v>736</v>
      </c>
      <c r="AN61" s="7"/>
      <c r="AO61" s="9">
        <v>1</v>
      </c>
      <c r="AP61" s="9">
        <v>-1</v>
      </c>
      <c r="AQ61" s="9"/>
      <c r="AR61" s="7"/>
      <c r="AT61" s="7"/>
      <c r="AU61" s="7"/>
      <c r="AV61" s="9">
        <v>0</v>
      </c>
      <c r="AW61" s="9">
        <v>1</v>
      </c>
      <c r="AX61" s="9"/>
      <c r="AY61" s="7"/>
      <c r="BA61" s="7"/>
      <c r="BB61" s="7"/>
      <c r="BC61" s="9">
        <v>1</v>
      </c>
      <c r="BD61" s="9">
        <v>0</v>
      </c>
      <c r="BE61" s="9">
        <v>0</v>
      </c>
      <c r="BF61" s="9"/>
      <c r="BH61" s="7"/>
      <c r="BI61" s="7"/>
      <c r="BJ61" s="9">
        <v>2</v>
      </c>
      <c r="BK61" s="9">
        <v>0</v>
      </c>
      <c r="BL61" s="9"/>
      <c r="BM61" s="9"/>
      <c r="BN61" s="9"/>
      <c r="BO61" s="7"/>
      <c r="BQ61" s="7"/>
      <c r="BR61" s="7"/>
      <c r="BS61" s="9">
        <v>2</v>
      </c>
      <c r="BT61" s="9">
        <v>0</v>
      </c>
      <c r="BU61" s="7"/>
      <c r="BV61" s="7"/>
      <c r="BX61" s="7"/>
      <c r="BY61" s="7"/>
      <c r="BZ61" s="9">
        <v>0</v>
      </c>
      <c r="CA61" s="9">
        <v>2</v>
      </c>
      <c r="CB61" s="9"/>
      <c r="CC61" s="7"/>
      <c r="CD61" s="7"/>
      <c r="CE61" s="7"/>
      <c r="CF61" s="7"/>
      <c r="CH61" s="7"/>
      <c r="CI61" s="7"/>
      <c r="CJ61" s="9"/>
      <c r="CK61" s="9"/>
      <c r="CL61" s="9"/>
      <c r="CM61" s="7"/>
      <c r="CO61" s="38"/>
      <c r="CP61" s="38"/>
      <c r="CQ61" s="41"/>
      <c r="CR61" s="41"/>
      <c r="CS61" s="41"/>
      <c r="CT61" s="38"/>
    </row>
    <row r="62" spans="1:98">
      <c r="CO62" s="32"/>
      <c r="CP62" s="32"/>
      <c r="CQ62" s="32"/>
      <c r="CR62" s="32"/>
      <c r="CS62" s="32"/>
      <c r="CT62" s="32"/>
    </row>
    <row r="63" spans="1:98" ht="21">
      <c r="A63" s="90"/>
      <c r="B63" s="91" t="s">
        <v>429</v>
      </c>
      <c r="C63" s="128" t="s">
        <v>717</v>
      </c>
      <c r="D63" s="92"/>
      <c r="E63" s="90"/>
      <c r="F63" s="90"/>
      <c r="G63" s="90"/>
      <c r="H63" s="90"/>
      <c r="I63" s="90"/>
      <c r="J63" s="90"/>
      <c r="L63" s="90"/>
      <c r="M63" s="91" t="s">
        <v>429</v>
      </c>
      <c r="N63" s="128" t="s">
        <v>460</v>
      </c>
      <c r="O63" s="92"/>
      <c r="P63" s="90"/>
      <c r="Q63" s="90"/>
      <c r="R63" s="90"/>
      <c r="S63" s="90"/>
      <c r="U63" s="90"/>
      <c r="V63" s="91" t="s">
        <v>429</v>
      </c>
      <c r="W63" s="128" t="s">
        <v>257</v>
      </c>
      <c r="X63" s="92"/>
      <c r="Y63" s="90"/>
      <c r="Z63" s="90"/>
      <c r="AA63" s="90"/>
      <c r="AB63" s="90"/>
      <c r="AD63" s="90"/>
      <c r="AE63" s="91" t="s">
        <v>429</v>
      </c>
      <c r="AF63" s="128" t="s">
        <v>165</v>
      </c>
      <c r="AG63" s="92"/>
      <c r="AH63" s="90"/>
      <c r="AI63" s="90"/>
      <c r="AJ63" s="90"/>
      <c r="AK63" s="90"/>
      <c r="AM63" s="90"/>
      <c r="AN63" s="91" t="s">
        <v>429</v>
      </c>
      <c r="AO63" s="128" t="s">
        <v>159</v>
      </c>
      <c r="AP63" s="92"/>
      <c r="AQ63" s="90"/>
      <c r="AR63" s="90"/>
      <c r="AT63" s="90"/>
      <c r="AU63" s="91" t="s">
        <v>429</v>
      </c>
      <c r="AV63" s="128" t="s">
        <v>474</v>
      </c>
      <c r="AW63" s="92"/>
      <c r="AX63" s="90"/>
      <c r="AY63" s="90"/>
      <c r="BA63" s="90"/>
      <c r="BB63" s="91" t="s">
        <v>429</v>
      </c>
      <c r="BC63" s="128" t="s">
        <v>482</v>
      </c>
      <c r="BD63" s="92"/>
      <c r="BE63" s="90"/>
      <c r="BF63" s="92"/>
      <c r="BH63" s="90"/>
      <c r="BI63" s="91" t="s">
        <v>429</v>
      </c>
      <c r="BJ63" s="128" t="s">
        <v>489</v>
      </c>
      <c r="BK63" s="92"/>
      <c r="BL63" s="90"/>
      <c r="BM63" s="90"/>
      <c r="BN63" s="90"/>
      <c r="BO63" s="90"/>
      <c r="BQ63" s="90"/>
      <c r="BR63" s="91" t="s">
        <v>429</v>
      </c>
      <c r="BS63" s="128" t="s">
        <v>494</v>
      </c>
      <c r="BT63" s="92"/>
      <c r="BU63" s="90"/>
      <c r="BV63" s="90"/>
      <c r="BX63" s="90"/>
      <c r="BY63" s="91" t="s">
        <v>429</v>
      </c>
      <c r="BZ63" s="128" t="s">
        <v>502</v>
      </c>
      <c r="CA63" s="92"/>
      <c r="CB63" s="90"/>
      <c r="CC63" s="90"/>
      <c r="CD63" s="90"/>
      <c r="CE63" s="90"/>
      <c r="CF63" s="90"/>
      <c r="CH63" s="90"/>
      <c r="CI63" s="91" t="s">
        <v>429</v>
      </c>
      <c r="CJ63" s="128" t="s">
        <v>488</v>
      </c>
      <c r="CK63" s="92"/>
      <c r="CL63" s="90"/>
      <c r="CM63" s="90"/>
      <c r="CO63" s="93"/>
      <c r="CP63" s="94" t="s">
        <v>429</v>
      </c>
      <c r="CQ63" s="133" t="s">
        <v>476</v>
      </c>
      <c r="CR63" s="96"/>
      <c r="CS63" s="93"/>
      <c r="CT63" s="93"/>
    </row>
    <row r="64" spans="1:98">
      <c r="A64" s="90"/>
      <c r="B64" s="90">
        <v>1</v>
      </c>
      <c r="C64" s="92" t="s">
        <v>263</v>
      </c>
      <c r="D64" s="92" t="s">
        <v>6</v>
      </c>
      <c r="E64" s="92"/>
      <c r="F64" s="90"/>
      <c r="G64" s="90"/>
      <c r="H64" s="90"/>
      <c r="I64" s="90"/>
      <c r="J64" s="90"/>
      <c r="L64" s="90"/>
      <c r="M64" s="90">
        <v>1</v>
      </c>
      <c r="N64" s="92" t="s">
        <v>586</v>
      </c>
      <c r="O64" s="92" t="s">
        <v>5</v>
      </c>
      <c r="P64" s="92"/>
      <c r="Q64" s="90"/>
      <c r="R64" s="90"/>
      <c r="S64" s="90"/>
      <c r="U64" s="90"/>
      <c r="V64" s="90">
        <v>1</v>
      </c>
      <c r="W64" s="92" t="s">
        <v>550</v>
      </c>
      <c r="X64" s="92" t="s">
        <v>21</v>
      </c>
      <c r="Y64" s="92"/>
      <c r="Z64" s="92"/>
      <c r="AA64" s="92"/>
      <c r="AB64" s="90"/>
      <c r="AD64" s="90"/>
      <c r="AE64" s="90">
        <v>1</v>
      </c>
      <c r="AF64" s="92" t="s">
        <v>44</v>
      </c>
      <c r="AG64" s="92" t="s">
        <v>585</v>
      </c>
      <c r="AH64" s="92"/>
      <c r="AI64" s="90"/>
      <c r="AJ64" s="90"/>
      <c r="AK64" s="90"/>
      <c r="AM64" s="90"/>
      <c r="AN64" s="90">
        <v>1</v>
      </c>
      <c r="AO64" s="92" t="s">
        <v>722</v>
      </c>
      <c r="AP64" s="92" t="s">
        <v>222</v>
      </c>
      <c r="AQ64" s="92"/>
      <c r="AR64" s="90"/>
      <c r="AT64" s="90"/>
      <c r="AU64" s="90">
        <v>1</v>
      </c>
      <c r="AV64" s="92" t="s">
        <v>548</v>
      </c>
      <c r="AW64" s="92" t="s">
        <v>21</v>
      </c>
      <c r="AX64" s="92"/>
      <c r="AY64" s="90"/>
      <c r="BA64" s="90"/>
      <c r="BB64" s="90">
        <v>1</v>
      </c>
      <c r="BC64" s="92" t="s">
        <v>53</v>
      </c>
      <c r="BD64" s="92" t="s">
        <v>584</v>
      </c>
      <c r="BE64" s="92"/>
      <c r="BF64" s="92"/>
      <c r="BH64" s="90"/>
      <c r="BI64" s="90">
        <v>1</v>
      </c>
      <c r="BJ64" s="92" t="s">
        <v>586</v>
      </c>
      <c r="BK64" s="92" t="s">
        <v>44</v>
      </c>
      <c r="BL64" s="92"/>
      <c r="BM64" s="92"/>
      <c r="BN64" s="92"/>
      <c r="BO64" s="90"/>
      <c r="BQ64" s="90"/>
      <c r="BR64" s="90">
        <v>1</v>
      </c>
      <c r="BS64" s="92" t="s">
        <v>92</v>
      </c>
      <c r="BT64" s="92" t="s">
        <v>6</v>
      </c>
      <c r="BU64" s="92"/>
      <c r="BV64" s="90"/>
      <c r="BX64" s="90"/>
      <c r="BY64" s="90">
        <v>1</v>
      </c>
      <c r="BZ64" s="92" t="s">
        <v>21</v>
      </c>
      <c r="CA64" s="92" t="s">
        <v>88</v>
      </c>
      <c r="CB64" s="92"/>
      <c r="CC64" s="90"/>
      <c r="CD64" s="90"/>
      <c r="CE64" s="90"/>
      <c r="CF64" s="90"/>
      <c r="CH64" s="90"/>
      <c r="CI64" s="90">
        <v>1</v>
      </c>
      <c r="CJ64" s="92"/>
      <c r="CK64" s="92"/>
      <c r="CL64" s="92"/>
      <c r="CM64" s="90"/>
      <c r="CO64" s="93"/>
      <c r="CP64" s="93">
        <v>1</v>
      </c>
      <c r="CQ64" s="96"/>
      <c r="CR64" s="96"/>
      <c r="CS64" s="96"/>
      <c r="CT64" s="93"/>
    </row>
    <row r="65" spans="1:98">
      <c r="A65" s="90"/>
      <c r="B65" s="90"/>
      <c r="C65" s="92">
        <v>3</v>
      </c>
      <c r="D65" s="92">
        <v>0</v>
      </c>
      <c r="E65" s="92"/>
      <c r="F65" s="90"/>
      <c r="G65" s="90"/>
      <c r="H65" s="90"/>
      <c r="I65" s="90"/>
      <c r="J65" s="90"/>
      <c r="L65" s="90"/>
      <c r="M65" s="90"/>
      <c r="N65" s="92">
        <v>2</v>
      </c>
      <c r="O65" s="92">
        <v>0</v>
      </c>
      <c r="P65" s="92"/>
      <c r="Q65" s="90"/>
      <c r="R65" s="90"/>
      <c r="S65" s="90"/>
      <c r="U65" s="90"/>
      <c r="V65" s="90"/>
      <c r="W65" s="92">
        <v>1</v>
      </c>
      <c r="X65" s="92">
        <v>0</v>
      </c>
      <c r="Y65" s="92"/>
      <c r="Z65" s="92"/>
      <c r="AA65" s="92"/>
      <c r="AB65" s="90"/>
      <c r="AD65" s="90"/>
      <c r="AE65" s="90"/>
      <c r="AF65" s="92">
        <v>0</v>
      </c>
      <c r="AG65" s="92">
        <v>1</v>
      </c>
      <c r="AH65" s="92"/>
      <c r="AI65" s="90"/>
      <c r="AJ65" s="90"/>
      <c r="AK65" s="90"/>
      <c r="AM65" s="90"/>
      <c r="AN65" s="90"/>
      <c r="AO65" s="92">
        <v>0</v>
      </c>
      <c r="AP65" s="92">
        <v>1</v>
      </c>
      <c r="AQ65" s="92"/>
      <c r="AR65" s="90"/>
      <c r="AT65" s="90"/>
      <c r="AU65" s="90"/>
      <c r="AV65" s="92">
        <v>1</v>
      </c>
      <c r="AW65" s="92">
        <v>0</v>
      </c>
      <c r="AX65" s="92"/>
      <c r="AY65" s="90"/>
      <c r="BA65" s="90"/>
      <c r="BB65" s="90"/>
      <c r="BC65" s="92">
        <v>0</v>
      </c>
      <c r="BD65" s="92">
        <v>1</v>
      </c>
      <c r="BE65" s="92"/>
      <c r="BF65" s="92"/>
      <c r="BH65" s="90"/>
      <c r="BI65" s="90"/>
      <c r="BJ65" s="92">
        <v>3</v>
      </c>
      <c r="BK65" s="92">
        <v>0</v>
      </c>
      <c r="BL65" s="92"/>
      <c r="BM65" s="92"/>
      <c r="BN65" s="92"/>
      <c r="BO65" s="90"/>
      <c r="BQ65" s="90"/>
      <c r="BR65" s="90"/>
      <c r="BS65" s="92">
        <v>1</v>
      </c>
      <c r="BT65" s="92">
        <v>0</v>
      </c>
      <c r="BU65" s="92"/>
      <c r="BV65" s="90"/>
      <c r="BX65" s="90"/>
      <c r="BY65" s="90"/>
      <c r="BZ65" s="92">
        <v>0</v>
      </c>
      <c r="CA65" s="92">
        <v>2</v>
      </c>
      <c r="CB65" s="92"/>
      <c r="CC65" s="90"/>
      <c r="CD65" s="90"/>
      <c r="CE65" s="90"/>
      <c r="CF65" s="90"/>
      <c r="CH65" s="90"/>
      <c r="CI65" s="90"/>
      <c r="CJ65" s="92"/>
      <c r="CK65" s="92"/>
      <c r="CL65" s="92"/>
      <c r="CM65" s="90"/>
      <c r="CO65" s="93"/>
      <c r="CP65" s="93"/>
      <c r="CQ65" s="96"/>
      <c r="CR65" s="96"/>
      <c r="CS65" s="96"/>
      <c r="CT65" s="93"/>
    </row>
    <row r="66" spans="1:98">
      <c r="A66" s="90"/>
      <c r="B66" s="90">
        <v>2</v>
      </c>
      <c r="C66" s="92" t="s">
        <v>11</v>
      </c>
      <c r="D66" s="92" t="s">
        <v>548</v>
      </c>
      <c r="E66" s="92"/>
      <c r="F66" s="90"/>
      <c r="G66" s="90"/>
      <c r="H66" s="90"/>
      <c r="I66" s="90"/>
      <c r="J66" s="90"/>
      <c r="L66" s="90"/>
      <c r="M66" s="90">
        <v>2</v>
      </c>
      <c r="N66" s="92" t="s">
        <v>722</v>
      </c>
      <c r="O66" s="92" t="s">
        <v>71</v>
      </c>
      <c r="P66" s="92"/>
      <c r="Q66" s="90"/>
      <c r="R66" s="90"/>
      <c r="S66" s="90"/>
      <c r="U66" s="90" t="s">
        <v>136</v>
      </c>
      <c r="V66" s="90">
        <v>2</v>
      </c>
      <c r="W66" s="92" t="s">
        <v>263</v>
      </c>
      <c r="X66" s="122" t="s">
        <v>573</v>
      </c>
      <c r="Y66" s="92" t="s">
        <v>290</v>
      </c>
      <c r="Z66" s="92" t="s">
        <v>533</v>
      </c>
      <c r="AA66" s="92"/>
      <c r="AB66" s="90"/>
      <c r="AD66" s="90"/>
      <c r="AE66" s="90">
        <v>2</v>
      </c>
      <c r="AF66" s="92" t="s">
        <v>21</v>
      </c>
      <c r="AG66" s="92" t="s">
        <v>587</v>
      </c>
      <c r="AH66" s="92"/>
      <c r="AI66" s="90"/>
      <c r="AJ66" s="90"/>
      <c r="AK66" s="90"/>
      <c r="AM66" s="90"/>
      <c r="AN66" s="90">
        <v>2</v>
      </c>
      <c r="AO66" s="92" t="s">
        <v>533</v>
      </c>
      <c r="AP66" s="92" t="s">
        <v>151</v>
      </c>
      <c r="AQ66" s="92"/>
      <c r="AR66" s="90"/>
      <c r="AT66" s="90"/>
      <c r="AU66" s="90">
        <v>2</v>
      </c>
      <c r="AV66" s="92" t="s">
        <v>551</v>
      </c>
      <c r="AW66" s="92" t="s">
        <v>9</v>
      </c>
      <c r="AX66" s="92"/>
      <c r="AY66" s="90"/>
      <c r="BA66" s="90" t="s">
        <v>271</v>
      </c>
      <c r="BB66" s="90">
        <v>2</v>
      </c>
      <c r="BC66" s="92" t="s">
        <v>43</v>
      </c>
      <c r="BD66" s="92" t="s">
        <v>580</v>
      </c>
      <c r="BE66" s="92"/>
      <c r="BF66" s="92"/>
      <c r="BH66" s="90"/>
      <c r="BI66" s="90">
        <v>2</v>
      </c>
      <c r="BJ66" s="92" t="s">
        <v>290</v>
      </c>
      <c r="BK66" s="92" t="s">
        <v>551</v>
      </c>
      <c r="BL66" s="92"/>
      <c r="BM66" s="92"/>
      <c r="BN66" s="92"/>
      <c r="BO66" s="90"/>
      <c r="BQ66" s="90"/>
      <c r="BR66" s="90">
        <v>2</v>
      </c>
      <c r="BS66" s="92" t="s">
        <v>290</v>
      </c>
      <c r="BT66" s="92" t="s">
        <v>659</v>
      </c>
      <c r="BU66" s="92"/>
      <c r="BV66" s="90"/>
      <c r="BX66" s="90"/>
      <c r="BY66" s="90">
        <v>2</v>
      </c>
      <c r="BZ66" s="92" t="s">
        <v>122</v>
      </c>
      <c r="CA66" s="92" t="s">
        <v>44</v>
      </c>
      <c r="CB66" s="92"/>
      <c r="CC66" s="90"/>
      <c r="CD66" s="90"/>
      <c r="CE66" s="90"/>
      <c r="CF66" s="90"/>
      <c r="CH66" s="90"/>
      <c r="CI66" s="90">
        <v>2</v>
      </c>
      <c r="CJ66" s="92"/>
      <c r="CK66" s="92"/>
      <c r="CL66" s="92"/>
      <c r="CM66" s="90"/>
      <c r="CO66" s="93"/>
      <c r="CP66" s="93">
        <v>2</v>
      </c>
      <c r="CQ66" s="96"/>
      <c r="CR66" s="96"/>
      <c r="CS66" s="96"/>
      <c r="CT66" s="93"/>
    </row>
    <row r="67" spans="1:98">
      <c r="A67" s="90"/>
      <c r="B67" s="90"/>
      <c r="C67" s="92">
        <v>0</v>
      </c>
      <c r="D67" s="92">
        <v>1</v>
      </c>
      <c r="E67" s="92"/>
      <c r="F67" s="90"/>
      <c r="G67" s="90"/>
      <c r="H67" s="90"/>
      <c r="I67" s="90"/>
      <c r="J67" s="90"/>
      <c r="L67" s="90"/>
      <c r="M67" s="90"/>
      <c r="N67" s="92">
        <v>0</v>
      </c>
      <c r="O67" s="92">
        <v>2</v>
      </c>
      <c r="P67" s="92"/>
      <c r="Q67" s="90"/>
      <c r="R67" s="90"/>
      <c r="S67" s="90"/>
      <c r="U67" s="90"/>
      <c r="V67" s="90"/>
      <c r="W67" s="92">
        <v>1</v>
      </c>
      <c r="X67" s="92">
        <v>2</v>
      </c>
      <c r="Y67" s="92">
        <v>0</v>
      </c>
      <c r="Z67" s="92">
        <v>0</v>
      </c>
      <c r="AA67" s="92"/>
      <c r="AB67" s="90"/>
      <c r="AD67" s="90"/>
      <c r="AE67" s="90"/>
      <c r="AF67" s="92">
        <v>0</v>
      </c>
      <c r="AG67" s="92">
        <v>1</v>
      </c>
      <c r="AH67" s="92"/>
      <c r="AI67" s="90"/>
      <c r="AJ67" s="90"/>
      <c r="AK67" s="90"/>
      <c r="AM67" s="90"/>
      <c r="AN67" s="90"/>
      <c r="AO67" s="92">
        <v>0</v>
      </c>
      <c r="AP67" s="92">
        <v>2</v>
      </c>
      <c r="AQ67" s="92"/>
      <c r="AR67" s="90"/>
      <c r="AT67" s="90"/>
      <c r="AU67" s="90"/>
      <c r="AV67" s="92">
        <v>2</v>
      </c>
      <c r="AW67" s="92">
        <v>0</v>
      </c>
      <c r="AX67" s="92"/>
      <c r="AY67" s="90"/>
      <c r="BA67" s="90"/>
      <c r="BB67" s="90"/>
      <c r="BC67" s="92">
        <v>0</v>
      </c>
      <c r="BD67" s="92">
        <v>1</v>
      </c>
      <c r="BE67" s="92"/>
      <c r="BF67" s="92"/>
      <c r="BH67" s="90"/>
      <c r="BI67" s="90"/>
      <c r="BJ67" s="92">
        <v>0</v>
      </c>
      <c r="BK67" s="92">
        <v>1</v>
      </c>
      <c r="BL67" s="92"/>
      <c r="BM67" s="92"/>
      <c r="BN67" s="92"/>
      <c r="BO67" s="90"/>
      <c r="BQ67" s="90"/>
      <c r="BR67" s="90"/>
      <c r="BS67" s="92">
        <v>0</v>
      </c>
      <c r="BT67" s="92">
        <v>1</v>
      </c>
      <c r="BU67" s="92"/>
      <c r="BV67" s="90"/>
      <c r="BX67" s="90"/>
      <c r="BY67" s="90"/>
      <c r="BZ67" s="92">
        <v>1</v>
      </c>
      <c r="CA67" s="92">
        <v>0</v>
      </c>
      <c r="CB67" s="92"/>
      <c r="CC67" s="90"/>
      <c r="CD67" s="90"/>
      <c r="CE67" s="90"/>
      <c r="CF67" s="90"/>
      <c r="CH67" s="90"/>
      <c r="CI67" s="90"/>
      <c r="CJ67" s="92"/>
      <c r="CK67" s="92"/>
      <c r="CL67" s="92"/>
      <c r="CM67" s="90"/>
      <c r="CO67" s="93"/>
      <c r="CP67" s="93"/>
      <c r="CQ67" s="96"/>
      <c r="CR67" s="96"/>
      <c r="CS67" s="96"/>
      <c r="CT67" s="93"/>
    </row>
    <row r="68" spans="1:98">
      <c r="A68" s="90"/>
      <c r="B68" s="90">
        <v>3</v>
      </c>
      <c r="C68" s="92" t="s">
        <v>584</v>
      </c>
      <c r="D68" s="92" t="s">
        <v>18</v>
      </c>
      <c r="E68" s="90"/>
      <c r="F68" s="90"/>
      <c r="G68" s="90"/>
      <c r="H68" s="90"/>
      <c r="I68" s="90"/>
      <c r="J68" s="90"/>
      <c r="L68" s="90"/>
      <c r="M68" s="90">
        <v>3</v>
      </c>
      <c r="N68" s="92" t="s">
        <v>110</v>
      </c>
      <c r="O68" s="92" t="s">
        <v>533</v>
      </c>
      <c r="P68" s="90"/>
      <c r="Q68" s="90"/>
      <c r="R68" s="90"/>
      <c r="S68" s="90"/>
      <c r="U68" s="90"/>
      <c r="V68" s="90">
        <v>3</v>
      </c>
      <c r="W68" s="92" t="s">
        <v>111</v>
      </c>
      <c r="X68" s="92" t="s">
        <v>43</v>
      </c>
      <c r="Y68" s="90"/>
      <c r="Z68" s="90"/>
      <c r="AA68" s="90"/>
      <c r="AB68" s="90"/>
      <c r="AD68" s="90" t="s">
        <v>220</v>
      </c>
      <c r="AE68" s="90">
        <v>3</v>
      </c>
      <c r="AF68" s="92" t="s">
        <v>46</v>
      </c>
      <c r="AG68" s="92" t="s">
        <v>894</v>
      </c>
      <c r="AH68" s="90"/>
      <c r="AI68" s="90"/>
      <c r="AJ68" s="90"/>
      <c r="AK68" s="90"/>
      <c r="AM68" s="90"/>
      <c r="AN68" s="90">
        <v>3</v>
      </c>
      <c r="AO68" s="92" t="s">
        <v>8</v>
      </c>
      <c r="AP68" s="92" t="s">
        <v>71</v>
      </c>
      <c r="AQ68" s="90"/>
      <c r="AR68" s="90"/>
      <c r="AT68" s="90" t="s">
        <v>582</v>
      </c>
      <c r="AU68" s="90">
        <v>3</v>
      </c>
      <c r="AV68" s="92" t="s">
        <v>584</v>
      </c>
      <c r="AW68" s="92" t="s">
        <v>50</v>
      </c>
      <c r="AX68" s="92"/>
      <c r="AY68" s="92"/>
      <c r="BA68" s="90" t="s">
        <v>272</v>
      </c>
      <c r="BB68" s="90">
        <v>3</v>
      </c>
      <c r="BC68" s="92" t="s">
        <v>88</v>
      </c>
      <c r="BD68" s="92" t="s">
        <v>65</v>
      </c>
      <c r="BE68" s="90"/>
      <c r="BF68" s="92"/>
      <c r="BH68" s="90" t="s">
        <v>658</v>
      </c>
      <c r="BI68" s="90">
        <v>3</v>
      </c>
      <c r="BJ68" s="92" t="s">
        <v>88</v>
      </c>
      <c r="BK68" s="92" t="s">
        <v>22</v>
      </c>
      <c r="BL68" s="90"/>
      <c r="BM68" s="90"/>
      <c r="BN68" s="90"/>
      <c r="BO68" s="90"/>
      <c r="BQ68" s="90"/>
      <c r="BR68" s="90">
        <v>3</v>
      </c>
      <c r="BS68" s="92" t="s">
        <v>138</v>
      </c>
      <c r="BT68" s="92" t="s">
        <v>55</v>
      </c>
      <c r="BU68" s="90"/>
      <c r="BV68" s="90"/>
      <c r="BX68" s="90" t="s">
        <v>136</v>
      </c>
      <c r="BY68" s="90">
        <v>3</v>
      </c>
      <c r="BZ68" s="92" t="s">
        <v>118</v>
      </c>
      <c r="CA68" s="122" t="s">
        <v>588</v>
      </c>
      <c r="CB68" s="92" t="s">
        <v>36</v>
      </c>
      <c r="CC68" s="92" t="s">
        <v>66</v>
      </c>
      <c r="CD68" s="90"/>
      <c r="CE68" s="90"/>
      <c r="CF68" s="90"/>
      <c r="CH68" s="90"/>
      <c r="CI68" s="90">
        <v>3</v>
      </c>
      <c r="CJ68" s="92"/>
      <c r="CK68" s="92"/>
      <c r="CL68" s="90"/>
      <c r="CM68" s="90"/>
      <c r="CO68" s="93"/>
      <c r="CP68" s="93">
        <v>3</v>
      </c>
      <c r="CQ68" s="96"/>
      <c r="CR68" s="96"/>
      <c r="CS68" s="93"/>
      <c r="CT68" s="93"/>
    </row>
    <row r="69" spans="1:98">
      <c r="A69" s="90"/>
      <c r="B69" s="90"/>
      <c r="C69" s="92">
        <v>2</v>
      </c>
      <c r="D69" s="92">
        <v>0</v>
      </c>
      <c r="E69" s="92"/>
      <c r="F69" s="90"/>
      <c r="G69" s="90"/>
      <c r="H69" s="90"/>
      <c r="I69" s="90"/>
      <c r="J69" s="90"/>
      <c r="L69" s="90"/>
      <c r="M69" s="90"/>
      <c r="N69" s="92">
        <v>1</v>
      </c>
      <c r="O69" s="92">
        <v>0</v>
      </c>
      <c r="P69" s="92"/>
      <c r="Q69" s="90"/>
      <c r="R69" s="90"/>
      <c r="S69" s="90"/>
      <c r="U69" s="90"/>
      <c r="V69" s="90"/>
      <c r="W69" s="92">
        <v>2</v>
      </c>
      <c r="X69" s="92">
        <v>0</v>
      </c>
      <c r="Y69" s="92"/>
      <c r="Z69" s="92"/>
      <c r="AA69" s="92"/>
      <c r="AB69" s="90"/>
      <c r="AD69" s="90"/>
      <c r="AE69" s="90"/>
      <c r="AF69" s="92">
        <v>0</v>
      </c>
      <c r="AG69" s="92">
        <v>1</v>
      </c>
      <c r="AH69" s="92"/>
      <c r="AI69" s="90"/>
      <c r="AJ69" s="90"/>
      <c r="AK69" s="90"/>
      <c r="AM69" s="90"/>
      <c r="AN69" s="90"/>
      <c r="AO69" s="92">
        <v>0</v>
      </c>
      <c r="AP69" s="92">
        <v>1</v>
      </c>
      <c r="AQ69" s="92"/>
      <c r="AR69" s="90"/>
      <c r="AT69" s="90"/>
      <c r="AU69" s="90"/>
      <c r="AV69" s="92">
        <v>1</v>
      </c>
      <c r="AW69" s="92">
        <v>0</v>
      </c>
      <c r="AX69" s="92"/>
      <c r="AY69" s="90"/>
      <c r="BA69" s="90"/>
      <c r="BB69" s="90"/>
      <c r="BC69" s="92">
        <v>1</v>
      </c>
      <c r="BD69" s="92">
        <v>0</v>
      </c>
      <c r="BE69" s="92"/>
      <c r="BF69" s="92"/>
      <c r="BH69" s="90"/>
      <c r="BI69" s="90"/>
      <c r="BJ69" s="92">
        <v>1</v>
      </c>
      <c r="BK69" s="92">
        <v>0</v>
      </c>
      <c r="BL69" s="92"/>
      <c r="BM69" s="92"/>
      <c r="BN69" s="92"/>
      <c r="BO69" s="90"/>
      <c r="BQ69" s="90"/>
      <c r="BR69" s="90"/>
      <c r="BS69" s="92">
        <v>3</v>
      </c>
      <c r="BT69" s="92">
        <v>0</v>
      </c>
      <c r="BU69" s="92"/>
      <c r="BV69" s="90"/>
      <c r="BX69" s="90"/>
      <c r="BY69" s="90"/>
      <c r="BZ69" s="92">
        <v>2</v>
      </c>
      <c r="CA69" s="92">
        <v>2</v>
      </c>
      <c r="CB69" s="92">
        <v>0</v>
      </c>
      <c r="CC69" s="92">
        <v>0</v>
      </c>
      <c r="CD69" s="90"/>
      <c r="CE69" s="90"/>
      <c r="CF69" s="90"/>
      <c r="CH69" s="90"/>
      <c r="CI69" s="90"/>
      <c r="CJ69" s="92"/>
      <c r="CK69" s="92"/>
      <c r="CL69" s="92"/>
      <c r="CM69" s="90"/>
      <c r="CO69" s="93"/>
      <c r="CP69" s="93"/>
      <c r="CQ69" s="96"/>
      <c r="CR69" s="96"/>
      <c r="CS69" s="96"/>
      <c r="CT69" s="93"/>
    </row>
    <row r="70" spans="1:98">
      <c r="A70" s="90" t="s">
        <v>108</v>
      </c>
      <c r="B70" s="90">
        <v>4</v>
      </c>
      <c r="C70" s="92" t="s">
        <v>141</v>
      </c>
      <c r="D70" s="92" t="s">
        <v>8</v>
      </c>
      <c r="E70" s="92"/>
      <c r="F70" s="90"/>
      <c r="G70" s="90"/>
      <c r="H70" s="90"/>
      <c r="I70" s="90"/>
      <c r="J70" s="90"/>
      <c r="L70" s="90" t="s">
        <v>575</v>
      </c>
      <c r="M70" s="90">
        <v>4</v>
      </c>
      <c r="N70" s="92" t="s">
        <v>584</v>
      </c>
      <c r="O70" s="92" t="s">
        <v>8</v>
      </c>
      <c r="P70" s="92"/>
      <c r="Q70" s="90"/>
      <c r="R70" s="90"/>
      <c r="S70" s="90"/>
      <c r="U70" s="90" t="s">
        <v>829</v>
      </c>
      <c r="V70" s="90">
        <v>4</v>
      </c>
      <c r="W70" s="92" t="s">
        <v>66</v>
      </c>
      <c r="X70" s="92" t="s">
        <v>551</v>
      </c>
      <c r="Y70" s="92"/>
      <c r="Z70" s="92"/>
      <c r="AA70" s="92"/>
      <c r="AB70" s="90"/>
      <c r="AD70" s="90" t="s">
        <v>220</v>
      </c>
      <c r="AE70" s="90">
        <v>4</v>
      </c>
      <c r="AF70" s="92" t="s">
        <v>138</v>
      </c>
      <c r="AG70" s="92" t="s">
        <v>290</v>
      </c>
      <c r="AH70" s="92"/>
      <c r="AI70" s="90"/>
      <c r="AJ70" s="90"/>
      <c r="AK70" s="90"/>
      <c r="AM70" s="90"/>
      <c r="AN70" s="90">
        <v>4</v>
      </c>
      <c r="AO70" s="92" t="s">
        <v>123</v>
      </c>
      <c r="AP70" s="92" t="s">
        <v>21</v>
      </c>
      <c r="AQ70" s="92"/>
      <c r="AR70" s="90"/>
      <c r="AT70" s="90"/>
      <c r="AU70" s="90">
        <v>4</v>
      </c>
      <c r="AV70" s="92" t="s">
        <v>557</v>
      </c>
      <c r="AW70" s="92" t="s">
        <v>61</v>
      </c>
      <c r="AX70" s="92"/>
      <c r="AY70" s="90"/>
      <c r="BA70" s="90" t="s">
        <v>273</v>
      </c>
      <c r="BB70" s="90">
        <v>4</v>
      </c>
      <c r="BC70" s="92" t="s">
        <v>55</v>
      </c>
      <c r="BD70" s="92" t="s">
        <v>141</v>
      </c>
      <c r="BE70" s="92"/>
      <c r="BF70" s="92"/>
      <c r="BH70" s="90" t="s">
        <v>578</v>
      </c>
      <c r="BI70" s="90">
        <v>4</v>
      </c>
      <c r="BJ70" s="92" t="s">
        <v>118</v>
      </c>
      <c r="BK70" s="92" t="s">
        <v>36</v>
      </c>
      <c r="BL70" s="92"/>
      <c r="BM70" s="92"/>
      <c r="BN70" s="92"/>
      <c r="BO70" s="90"/>
      <c r="BQ70" s="90" t="s">
        <v>554</v>
      </c>
      <c r="BR70" s="90">
        <v>4</v>
      </c>
      <c r="BS70" s="92" t="s">
        <v>58</v>
      </c>
      <c r="BT70" s="92" t="s">
        <v>40</v>
      </c>
      <c r="BU70" s="92" t="s">
        <v>88</v>
      </c>
      <c r="BV70" s="90"/>
      <c r="BX70" s="90" t="s">
        <v>592</v>
      </c>
      <c r="BY70" s="90">
        <v>4</v>
      </c>
      <c r="BZ70" s="92" t="s">
        <v>550</v>
      </c>
      <c r="CA70" s="92" t="s">
        <v>445</v>
      </c>
      <c r="CB70" s="92" t="s">
        <v>22</v>
      </c>
      <c r="CC70" s="90"/>
      <c r="CD70" s="90"/>
      <c r="CE70" s="90"/>
      <c r="CF70" s="90"/>
      <c r="CH70" s="90"/>
      <c r="CI70" s="90">
        <v>4</v>
      </c>
      <c r="CJ70" s="92"/>
      <c r="CK70" s="92"/>
      <c r="CL70" s="92"/>
      <c r="CM70" s="90"/>
      <c r="CO70" s="93"/>
      <c r="CP70" s="93">
        <v>4</v>
      </c>
      <c r="CQ70" s="96"/>
      <c r="CR70" s="96"/>
      <c r="CS70" s="96"/>
      <c r="CT70" s="93"/>
    </row>
    <row r="71" spans="1:98">
      <c r="A71" s="90"/>
      <c r="B71" s="90"/>
      <c r="C71" s="92">
        <v>2</v>
      </c>
      <c r="D71" s="92">
        <v>0</v>
      </c>
      <c r="E71" s="92"/>
      <c r="F71" s="90"/>
      <c r="G71" s="90"/>
      <c r="H71" s="90"/>
      <c r="I71" s="90"/>
      <c r="J71" s="90"/>
      <c r="L71" s="90"/>
      <c r="M71" s="90"/>
      <c r="N71" s="92">
        <v>2</v>
      </c>
      <c r="O71" s="92">
        <v>0</v>
      </c>
      <c r="P71" s="92"/>
      <c r="Q71" s="90"/>
      <c r="R71" s="90"/>
      <c r="S71" s="90"/>
      <c r="U71" s="90"/>
      <c r="V71" s="90"/>
      <c r="W71" s="92">
        <v>0</v>
      </c>
      <c r="X71" s="92">
        <v>2</v>
      </c>
      <c r="Y71" s="92"/>
      <c r="Z71" s="92"/>
      <c r="AA71" s="92"/>
      <c r="AB71" s="90"/>
      <c r="AD71" s="90"/>
      <c r="AE71" s="90"/>
      <c r="AF71" s="92">
        <v>3</v>
      </c>
      <c r="AG71" s="92">
        <v>0</v>
      </c>
      <c r="AH71" s="92"/>
      <c r="AI71" s="90"/>
      <c r="AJ71" s="90"/>
      <c r="AK71" s="90"/>
      <c r="AM71" s="90"/>
      <c r="AN71" s="90"/>
      <c r="AO71" s="92">
        <v>2</v>
      </c>
      <c r="AP71" s="92">
        <v>0</v>
      </c>
      <c r="AQ71" s="92"/>
      <c r="AR71" s="90"/>
      <c r="AT71" s="90"/>
      <c r="AU71" s="90"/>
      <c r="AV71" s="92">
        <v>1</v>
      </c>
      <c r="AW71" s="92">
        <v>0</v>
      </c>
      <c r="AX71" s="92"/>
      <c r="AY71" s="90"/>
      <c r="BA71" s="90"/>
      <c r="BB71" s="90"/>
      <c r="BC71" s="92">
        <v>0</v>
      </c>
      <c r="BD71" s="92">
        <v>1</v>
      </c>
      <c r="BE71" s="92"/>
      <c r="BF71" s="92"/>
      <c r="BH71" s="90"/>
      <c r="BI71" s="90"/>
      <c r="BJ71" s="92">
        <v>4</v>
      </c>
      <c r="BK71" s="92">
        <v>-4</v>
      </c>
      <c r="BL71" s="92"/>
      <c r="BM71" s="92"/>
      <c r="BN71" s="92"/>
      <c r="BO71" s="90"/>
      <c r="BQ71" s="90"/>
      <c r="BR71" s="90"/>
      <c r="BS71" s="92">
        <v>0</v>
      </c>
      <c r="BT71" s="92">
        <v>0</v>
      </c>
      <c r="BU71" s="92">
        <v>1</v>
      </c>
      <c r="BV71" s="90"/>
      <c r="BX71" s="90"/>
      <c r="BY71" s="90"/>
      <c r="BZ71" s="92">
        <v>2</v>
      </c>
      <c r="CA71" s="92">
        <v>-2</v>
      </c>
      <c r="CB71" s="92">
        <v>0</v>
      </c>
      <c r="CC71" s="90"/>
      <c r="CD71" s="90"/>
      <c r="CE71" s="90"/>
      <c r="CF71" s="90"/>
      <c r="CH71" s="90"/>
      <c r="CI71" s="90"/>
      <c r="CJ71" s="92"/>
      <c r="CK71" s="92"/>
      <c r="CL71" s="92"/>
      <c r="CM71" s="90"/>
      <c r="CO71" s="93"/>
      <c r="CP71" s="93"/>
      <c r="CQ71" s="96"/>
      <c r="CR71" s="96"/>
      <c r="CS71" s="96"/>
      <c r="CT71" s="93"/>
    </row>
    <row r="72" spans="1:98">
      <c r="A72" s="90" t="s">
        <v>581</v>
      </c>
      <c r="B72" s="90">
        <v>5</v>
      </c>
      <c r="C72" s="92" t="s">
        <v>53</v>
      </c>
      <c r="D72" s="92" t="s">
        <v>138</v>
      </c>
      <c r="E72" s="92"/>
      <c r="F72" s="90"/>
      <c r="G72" s="90"/>
      <c r="H72" s="90"/>
      <c r="I72" s="90"/>
      <c r="J72" s="90"/>
      <c r="L72" s="90" t="s">
        <v>555</v>
      </c>
      <c r="M72" s="90">
        <v>5</v>
      </c>
      <c r="N72" s="92" t="s">
        <v>61</v>
      </c>
      <c r="O72" s="92" t="s">
        <v>151</v>
      </c>
      <c r="P72" s="92"/>
      <c r="Q72" s="90"/>
      <c r="R72" s="90"/>
      <c r="S72" s="90"/>
      <c r="U72" s="90" t="s">
        <v>592</v>
      </c>
      <c r="V72" s="90">
        <v>5</v>
      </c>
      <c r="W72" s="92" t="s">
        <v>584</v>
      </c>
      <c r="X72" s="92" t="s">
        <v>6</v>
      </c>
      <c r="Y72" s="92" t="s">
        <v>9</v>
      </c>
      <c r="Z72" s="92"/>
      <c r="AA72" s="92"/>
      <c r="AB72" s="90"/>
      <c r="AD72" s="90" t="s">
        <v>555</v>
      </c>
      <c r="AE72" s="90">
        <v>5</v>
      </c>
      <c r="AF72" s="92" t="s">
        <v>72</v>
      </c>
      <c r="AG72" s="92" t="s">
        <v>60</v>
      </c>
      <c r="AH72" s="92"/>
      <c r="AI72" s="90"/>
      <c r="AJ72" s="90"/>
      <c r="AK72" s="90"/>
      <c r="AM72" s="90" t="s">
        <v>555</v>
      </c>
      <c r="AN72" s="90">
        <v>5</v>
      </c>
      <c r="AO72" s="92" t="s">
        <v>59</v>
      </c>
      <c r="AP72" s="92" t="s">
        <v>138</v>
      </c>
      <c r="AQ72" s="92"/>
      <c r="AR72" s="90"/>
      <c r="AT72" s="90" t="s">
        <v>136</v>
      </c>
      <c r="AU72" s="90">
        <v>5</v>
      </c>
      <c r="AV72" s="92" t="s">
        <v>124</v>
      </c>
      <c r="AW72" s="122" t="s">
        <v>81</v>
      </c>
      <c r="AX72" s="92" t="s">
        <v>58</v>
      </c>
      <c r="AY72" s="92" t="s">
        <v>60</v>
      </c>
      <c r="BA72" s="90" t="s">
        <v>275</v>
      </c>
      <c r="BB72" s="90">
        <v>5</v>
      </c>
      <c r="BC72" s="92" t="s">
        <v>59</v>
      </c>
      <c r="BD72" s="92" t="s">
        <v>19</v>
      </c>
      <c r="BE72" s="92" t="s">
        <v>195</v>
      </c>
      <c r="BF72" s="92"/>
      <c r="BH72" s="90" t="s">
        <v>657</v>
      </c>
      <c r="BI72" s="90">
        <v>5</v>
      </c>
      <c r="BJ72" s="92" t="s">
        <v>195</v>
      </c>
      <c r="BK72" s="92" t="s">
        <v>12</v>
      </c>
      <c r="BL72" s="92"/>
      <c r="BM72" s="92"/>
      <c r="BN72" s="92"/>
      <c r="BO72" s="90"/>
      <c r="BQ72" s="90"/>
      <c r="BR72" s="90">
        <v>5</v>
      </c>
      <c r="BS72" s="92" t="s">
        <v>53</v>
      </c>
      <c r="BT72" s="92" t="s">
        <v>796</v>
      </c>
      <c r="BU72" s="92"/>
      <c r="BV72" s="90"/>
      <c r="BX72" s="90" t="s">
        <v>805</v>
      </c>
      <c r="BY72" s="90">
        <v>5</v>
      </c>
      <c r="BZ72" s="92" t="s">
        <v>45</v>
      </c>
      <c r="CA72" s="92" t="s">
        <v>723</v>
      </c>
      <c r="CB72" s="92"/>
      <c r="CC72" s="90"/>
      <c r="CD72" s="90"/>
      <c r="CE72" s="90"/>
      <c r="CF72" s="90"/>
      <c r="CH72" s="90"/>
      <c r="CI72" s="90">
        <v>5</v>
      </c>
      <c r="CJ72" s="92"/>
      <c r="CK72" s="92"/>
      <c r="CL72" s="92"/>
      <c r="CM72" s="90"/>
      <c r="CO72" s="93"/>
      <c r="CP72" s="93">
        <v>5</v>
      </c>
      <c r="CQ72" s="96"/>
      <c r="CR72" s="96"/>
      <c r="CS72" s="96"/>
      <c r="CT72" s="93"/>
    </row>
    <row r="73" spans="1:98">
      <c r="A73" s="90"/>
      <c r="B73" s="90"/>
      <c r="C73" s="92">
        <v>0</v>
      </c>
      <c r="D73" s="92">
        <v>2</v>
      </c>
      <c r="E73" s="92"/>
      <c r="F73" s="90"/>
      <c r="G73" s="90"/>
      <c r="H73" s="90"/>
      <c r="I73" s="90"/>
      <c r="J73" s="90"/>
      <c r="L73" s="90"/>
      <c r="M73" s="90"/>
      <c r="N73" s="92">
        <v>0</v>
      </c>
      <c r="O73" s="92">
        <v>1</v>
      </c>
      <c r="P73" s="92"/>
      <c r="Q73" s="90"/>
      <c r="R73" s="90"/>
      <c r="S73" s="90"/>
      <c r="U73" s="90"/>
      <c r="V73" s="90"/>
      <c r="W73" s="92">
        <v>5</v>
      </c>
      <c r="X73" s="92">
        <v>-3</v>
      </c>
      <c r="Y73" s="92">
        <v>-2</v>
      </c>
      <c r="Z73" s="92"/>
      <c r="AA73" s="92"/>
      <c r="AB73" s="90"/>
      <c r="AD73" s="90"/>
      <c r="AE73" s="90"/>
      <c r="AF73" s="92">
        <v>3</v>
      </c>
      <c r="AG73" s="92">
        <v>0</v>
      </c>
      <c r="AH73" s="92"/>
      <c r="AI73" s="90"/>
      <c r="AJ73" s="90"/>
      <c r="AK73" s="90"/>
      <c r="AM73" s="90"/>
      <c r="AN73" s="90"/>
      <c r="AO73" s="92">
        <v>0</v>
      </c>
      <c r="AP73" s="92">
        <v>3</v>
      </c>
      <c r="AQ73" s="92"/>
      <c r="AR73" s="90"/>
      <c r="AT73" s="90"/>
      <c r="AU73" s="90"/>
      <c r="AV73" s="92">
        <v>2</v>
      </c>
      <c r="AW73" s="92">
        <v>1</v>
      </c>
      <c r="AX73" s="92">
        <v>0</v>
      </c>
      <c r="AY73" s="92">
        <v>0</v>
      </c>
      <c r="BA73" s="90"/>
      <c r="BB73" s="90"/>
      <c r="BC73" s="92">
        <v>0</v>
      </c>
      <c r="BD73" s="92">
        <v>0</v>
      </c>
      <c r="BE73" s="92">
        <v>1</v>
      </c>
      <c r="BF73" s="92"/>
      <c r="BH73" s="90"/>
      <c r="BI73" s="90"/>
      <c r="BJ73" s="92">
        <v>1</v>
      </c>
      <c r="BK73" s="92">
        <v>0</v>
      </c>
      <c r="BL73" s="92"/>
      <c r="BM73" s="92"/>
      <c r="BN73" s="92"/>
      <c r="BO73" s="90"/>
      <c r="BQ73" s="90"/>
      <c r="BR73" s="90"/>
      <c r="BS73" s="92">
        <v>0</v>
      </c>
      <c r="BT73" s="92">
        <v>1</v>
      </c>
      <c r="BU73" s="92"/>
      <c r="BV73" s="90"/>
      <c r="BX73" s="90"/>
      <c r="BY73" s="90"/>
      <c r="BZ73" s="92">
        <v>0</v>
      </c>
      <c r="CA73" s="92">
        <v>1</v>
      </c>
      <c r="CB73" s="92"/>
      <c r="CC73" s="90"/>
      <c r="CD73" s="90"/>
      <c r="CE73" s="90"/>
      <c r="CF73" s="90"/>
      <c r="CH73" s="90"/>
      <c r="CI73" s="90"/>
      <c r="CJ73" s="92"/>
      <c r="CK73" s="92"/>
      <c r="CL73" s="92"/>
      <c r="CM73" s="90"/>
      <c r="CO73" s="93"/>
      <c r="CP73" s="93"/>
      <c r="CQ73" s="96"/>
      <c r="CR73" s="96"/>
      <c r="CS73" s="96"/>
      <c r="CT73" s="93"/>
    </row>
    <row r="74" spans="1:98">
      <c r="CO74" s="32"/>
      <c r="CP74" s="32"/>
      <c r="CQ74" s="32"/>
      <c r="CR74" s="32"/>
      <c r="CS74" s="32"/>
      <c r="CT74" s="32"/>
    </row>
    <row r="75" spans="1:98" ht="21">
      <c r="A75" s="10"/>
      <c r="B75" s="11" t="s">
        <v>69</v>
      </c>
      <c r="C75" s="27" t="s">
        <v>458</v>
      </c>
      <c r="D75" s="12"/>
      <c r="E75" s="10"/>
      <c r="F75" s="10"/>
      <c r="G75" s="10"/>
      <c r="H75" s="10"/>
      <c r="I75" s="10"/>
      <c r="J75" s="10"/>
      <c r="L75" s="10"/>
      <c r="M75" s="11" t="s">
        <v>69</v>
      </c>
      <c r="N75" s="27" t="s">
        <v>463</v>
      </c>
      <c r="O75" s="12"/>
      <c r="P75" s="10"/>
      <c r="Q75" s="10"/>
      <c r="R75" s="10"/>
      <c r="S75" s="10"/>
      <c r="U75" s="10"/>
      <c r="V75" s="11" t="s">
        <v>69</v>
      </c>
      <c r="W75" s="27" t="s">
        <v>718</v>
      </c>
      <c r="X75" s="12"/>
      <c r="Y75" s="10"/>
      <c r="Z75" s="10"/>
      <c r="AA75" s="10"/>
      <c r="AB75" s="10"/>
      <c r="AD75" s="10"/>
      <c r="AE75" s="11" t="s">
        <v>69</v>
      </c>
      <c r="AF75" s="27" t="s">
        <v>181</v>
      </c>
      <c r="AG75" s="12"/>
      <c r="AH75" s="10"/>
      <c r="AI75" s="10"/>
      <c r="AJ75" s="10"/>
      <c r="AK75" s="10"/>
      <c r="AM75" s="10"/>
      <c r="AN75" s="11" t="s">
        <v>69</v>
      </c>
      <c r="AO75" s="27" t="s">
        <v>814</v>
      </c>
      <c r="AP75" s="12"/>
      <c r="AQ75" s="10"/>
      <c r="AR75" s="10"/>
      <c r="AT75" s="10"/>
      <c r="AU75" s="11" t="s">
        <v>69</v>
      </c>
      <c r="AV75" s="27" t="s">
        <v>475</v>
      </c>
      <c r="AW75" s="12"/>
      <c r="AX75" s="10"/>
      <c r="AY75" s="10"/>
      <c r="BA75" s="10"/>
      <c r="BB75" s="11" t="s">
        <v>69</v>
      </c>
      <c r="BC75" s="27" t="s">
        <v>483</v>
      </c>
      <c r="BD75" s="12"/>
      <c r="BE75" s="10"/>
      <c r="BF75" s="12"/>
      <c r="BH75" s="10"/>
      <c r="BI75" s="11" t="s">
        <v>69</v>
      </c>
      <c r="BJ75" s="27" t="s">
        <v>215</v>
      </c>
      <c r="BK75" s="12"/>
      <c r="BL75" s="10"/>
      <c r="BM75" s="10"/>
      <c r="BN75" s="10"/>
      <c r="BO75" s="10"/>
      <c r="BQ75" s="10"/>
      <c r="BR75" s="11" t="s">
        <v>69</v>
      </c>
      <c r="BS75" s="27" t="s">
        <v>495</v>
      </c>
      <c r="BT75" s="12"/>
      <c r="BU75" s="10"/>
      <c r="BV75" s="10"/>
      <c r="BX75" s="10"/>
      <c r="BY75" s="11" t="s">
        <v>69</v>
      </c>
      <c r="BZ75" s="27" t="s">
        <v>503</v>
      </c>
      <c r="CA75" s="12"/>
      <c r="CB75" s="10"/>
      <c r="CC75" s="10"/>
      <c r="CD75" s="10"/>
      <c r="CE75" s="10"/>
      <c r="CF75" s="10"/>
      <c r="CH75" s="10"/>
      <c r="CI75" s="11" t="s">
        <v>69</v>
      </c>
      <c r="CJ75" s="27" t="s">
        <v>159</v>
      </c>
      <c r="CK75" s="12"/>
      <c r="CL75" s="10"/>
      <c r="CM75" s="10"/>
      <c r="CO75" s="34"/>
      <c r="CP75" s="35" t="s">
        <v>69</v>
      </c>
      <c r="CQ75" s="36" t="s">
        <v>720</v>
      </c>
      <c r="CR75" s="37"/>
      <c r="CS75" s="34"/>
      <c r="CT75" s="34"/>
    </row>
    <row r="76" spans="1:98">
      <c r="A76" s="10" t="s">
        <v>136</v>
      </c>
      <c r="B76" s="10">
        <v>1</v>
      </c>
      <c r="C76" s="12" t="s">
        <v>57</v>
      </c>
      <c r="D76" s="30" t="s">
        <v>50</v>
      </c>
      <c r="E76" s="12" t="s">
        <v>169</v>
      </c>
      <c r="F76" s="12" t="s">
        <v>894</v>
      </c>
      <c r="G76" s="10"/>
      <c r="H76" s="10"/>
      <c r="I76" s="10"/>
      <c r="J76" s="10"/>
      <c r="L76" s="10" t="s">
        <v>575</v>
      </c>
      <c r="M76" s="10">
        <v>1</v>
      </c>
      <c r="N76" s="12" t="s">
        <v>163</v>
      </c>
      <c r="O76" s="12" t="s">
        <v>445</v>
      </c>
      <c r="P76" s="12" t="s">
        <v>4</v>
      </c>
      <c r="Q76" s="10"/>
      <c r="R76" s="10"/>
      <c r="S76" s="10"/>
      <c r="U76" s="10"/>
      <c r="V76" s="10">
        <v>1</v>
      </c>
      <c r="W76" s="12" t="s">
        <v>20</v>
      </c>
      <c r="X76" s="12" t="s">
        <v>150</v>
      </c>
      <c r="Y76" s="12"/>
      <c r="Z76" s="12"/>
      <c r="AA76" s="12"/>
      <c r="AB76" s="10"/>
      <c r="AD76" s="10"/>
      <c r="AE76" s="10">
        <v>1</v>
      </c>
      <c r="AF76" s="12" t="s">
        <v>117</v>
      </c>
      <c r="AG76" s="12" t="s">
        <v>22</v>
      </c>
      <c r="AH76" s="12"/>
      <c r="AI76" s="10"/>
      <c r="AJ76" s="10"/>
      <c r="AK76" s="10"/>
      <c r="AM76" s="10"/>
      <c r="AN76" s="10">
        <v>1</v>
      </c>
      <c r="AO76" s="12" t="s">
        <v>558</v>
      </c>
      <c r="AP76" s="12" t="s">
        <v>291</v>
      </c>
      <c r="AQ76" s="12"/>
      <c r="AR76" s="10"/>
      <c r="AT76" s="10"/>
      <c r="AU76" s="10">
        <v>1</v>
      </c>
      <c r="AV76" s="12" t="s">
        <v>144</v>
      </c>
      <c r="AW76" s="12" t="s">
        <v>531</v>
      </c>
      <c r="AX76" s="12"/>
      <c r="AY76" s="10"/>
      <c r="BA76" s="10"/>
      <c r="BB76" s="10">
        <v>1</v>
      </c>
      <c r="BC76" s="12" t="s">
        <v>587</v>
      </c>
      <c r="BD76" s="12" t="s">
        <v>291</v>
      </c>
      <c r="BE76" s="12"/>
      <c r="BF76" s="12"/>
      <c r="BH76" s="10" t="s">
        <v>312</v>
      </c>
      <c r="BI76" s="10">
        <v>1</v>
      </c>
      <c r="BJ76" s="12" t="s">
        <v>16</v>
      </c>
      <c r="BK76" s="12" t="s">
        <v>70</v>
      </c>
      <c r="BL76" s="12"/>
      <c r="BM76" s="12"/>
      <c r="BN76" s="12"/>
      <c r="BO76" s="10"/>
      <c r="BQ76" s="10"/>
      <c r="BR76" s="10">
        <v>1</v>
      </c>
      <c r="BS76" s="12" t="s">
        <v>57</v>
      </c>
      <c r="BT76" s="12" t="s">
        <v>579</v>
      </c>
      <c r="BU76" s="12"/>
      <c r="BV76" s="10"/>
      <c r="BX76" s="10" t="s">
        <v>139</v>
      </c>
      <c r="BY76" s="10">
        <v>1</v>
      </c>
      <c r="BZ76" s="12" t="s">
        <v>263</v>
      </c>
      <c r="CA76" s="12" t="s">
        <v>65</v>
      </c>
      <c r="CB76" s="12"/>
      <c r="CC76" s="10"/>
      <c r="CD76" s="10"/>
      <c r="CE76" s="10"/>
      <c r="CF76" s="10"/>
      <c r="CH76" s="10"/>
      <c r="CI76" s="10">
        <v>1</v>
      </c>
      <c r="CJ76" s="12"/>
      <c r="CK76" s="12"/>
      <c r="CL76" s="12"/>
      <c r="CM76" s="10"/>
      <c r="CO76" s="34"/>
      <c r="CP76" s="34">
        <v>1</v>
      </c>
      <c r="CQ76" s="37"/>
      <c r="CR76" s="37"/>
      <c r="CS76" s="37"/>
      <c r="CT76" s="34"/>
    </row>
    <row r="77" spans="1:98">
      <c r="A77" s="10"/>
      <c r="B77" s="10"/>
      <c r="C77" s="12">
        <v>0</v>
      </c>
      <c r="D77" s="12">
        <v>0</v>
      </c>
      <c r="E77" s="12">
        <v>1</v>
      </c>
      <c r="F77" s="10">
        <v>2</v>
      </c>
      <c r="G77" s="10"/>
      <c r="H77" s="10"/>
      <c r="I77" s="10"/>
      <c r="J77" s="10"/>
      <c r="L77" s="10"/>
      <c r="M77" s="10"/>
      <c r="N77" s="12">
        <v>1</v>
      </c>
      <c r="O77" s="12">
        <v>0</v>
      </c>
      <c r="P77" s="12">
        <v>0</v>
      </c>
      <c r="Q77" s="10"/>
      <c r="R77" s="10"/>
      <c r="S77" s="10"/>
      <c r="U77" s="10"/>
      <c r="V77" s="10"/>
      <c r="W77" s="12">
        <v>0</v>
      </c>
      <c r="X77" s="12">
        <v>2</v>
      </c>
      <c r="Y77" s="12"/>
      <c r="Z77" s="12"/>
      <c r="AA77" s="12"/>
      <c r="AB77" s="10"/>
      <c r="AD77" s="10"/>
      <c r="AE77" s="10"/>
      <c r="AF77" s="12">
        <v>3</v>
      </c>
      <c r="AG77" s="12">
        <v>0</v>
      </c>
      <c r="AH77" s="12"/>
      <c r="AI77" s="10"/>
      <c r="AJ77" s="10"/>
      <c r="AK77" s="10"/>
      <c r="AM77" s="10"/>
      <c r="AN77" s="10"/>
      <c r="AO77" s="12">
        <v>1</v>
      </c>
      <c r="AP77" s="12">
        <v>0</v>
      </c>
      <c r="AQ77" s="12"/>
      <c r="AR77" s="10"/>
      <c r="AT77" s="10"/>
      <c r="AU77" s="10"/>
      <c r="AV77" s="12">
        <v>2</v>
      </c>
      <c r="AW77" s="12">
        <v>0</v>
      </c>
      <c r="AX77" s="12"/>
      <c r="AY77" s="10"/>
      <c r="BA77" s="10"/>
      <c r="BB77" s="10"/>
      <c r="BC77" s="12">
        <v>2</v>
      </c>
      <c r="BD77" s="12">
        <v>0</v>
      </c>
      <c r="BE77" s="12"/>
      <c r="BF77" s="12"/>
      <c r="BH77" s="10"/>
      <c r="BI77" s="10"/>
      <c r="BJ77" s="12">
        <v>0</v>
      </c>
      <c r="BK77" s="12">
        <v>1</v>
      </c>
      <c r="BL77" s="12"/>
      <c r="BM77" s="12"/>
      <c r="BN77" s="12"/>
      <c r="BO77" s="10"/>
      <c r="BQ77" s="10"/>
      <c r="BR77" s="10"/>
      <c r="BS77" s="12">
        <v>0</v>
      </c>
      <c r="BT77" s="12">
        <v>1</v>
      </c>
      <c r="BU77" s="12"/>
      <c r="BV77" s="10"/>
      <c r="BX77" s="10"/>
      <c r="BY77" s="10"/>
      <c r="BZ77" s="12">
        <v>3</v>
      </c>
      <c r="CA77" s="12">
        <v>-3</v>
      </c>
      <c r="CB77" s="12"/>
      <c r="CC77" s="10"/>
      <c r="CD77" s="10"/>
      <c r="CE77" s="10"/>
      <c r="CF77" s="10"/>
      <c r="CH77" s="10"/>
      <c r="CI77" s="10"/>
      <c r="CJ77" s="12"/>
      <c r="CK77" s="12"/>
      <c r="CL77" s="12"/>
      <c r="CM77" s="10"/>
      <c r="CO77" s="34"/>
      <c r="CP77" s="34"/>
      <c r="CQ77" s="37"/>
      <c r="CR77" s="37"/>
      <c r="CS77" s="37"/>
      <c r="CT77" s="34"/>
    </row>
    <row r="78" spans="1:98">
      <c r="A78" s="10"/>
      <c r="B78" s="10">
        <v>2</v>
      </c>
      <c r="C78" s="12" t="s">
        <v>291</v>
      </c>
      <c r="D78" s="12" t="s">
        <v>603</v>
      </c>
      <c r="E78" s="12"/>
      <c r="F78" s="10"/>
      <c r="G78" s="10"/>
      <c r="H78" s="10"/>
      <c r="I78" s="10"/>
      <c r="J78" s="10"/>
      <c r="L78" s="10"/>
      <c r="M78" s="10">
        <v>2</v>
      </c>
      <c r="N78" s="12" t="s">
        <v>195</v>
      </c>
      <c r="O78" s="12" t="s">
        <v>52</v>
      </c>
      <c r="P78" s="12"/>
      <c r="Q78" s="10"/>
      <c r="R78" s="10"/>
      <c r="S78" s="10"/>
      <c r="U78" s="10"/>
      <c r="V78" s="10">
        <v>2</v>
      </c>
      <c r="W78" s="12" t="s">
        <v>156</v>
      </c>
      <c r="X78" s="12" t="s">
        <v>57</v>
      </c>
      <c r="Y78" s="12"/>
      <c r="Z78" s="12"/>
      <c r="AA78" s="12"/>
      <c r="AB78" s="10"/>
      <c r="AD78" s="10" t="s">
        <v>139</v>
      </c>
      <c r="AE78" s="10">
        <v>2</v>
      </c>
      <c r="AF78" s="12" t="s">
        <v>558</v>
      </c>
      <c r="AG78" s="12" t="s">
        <v>445</v>
      </c>
      <c r="AH78" s="12"/>
      <c r="AI78" s="10"/>
      <c r="AJ78" s="10"/>
      <c r="AK78" s="10"/>
      <c r="AM78" s="10"/>
      <c r="AN78" s="10">
        <v>2</v>
      </c>
      <c r="AO78" s="12" t="s">
        <v>36</v>
      </c>
      <c r="AP78" s="12" t="s">
        <v>70</v>
      </c>
      <c r="AQ78" s="12"/>
      <c r="AR78" s="10"/>
      <c r="AT78" s="10"/>
      <c r="AU78" s="10">
        <v>2</v>
      </c>
      <c r="AV78" s="12" t="s">
        <v>48</v>
      </c>
      <c r="AW78" s="12" t="s">
        <v>163</v>
      </c>
      <c r="AX78" s="12"/>
      <c r="AY78" s="10"/>
      <c r="BA78" s="10"/>
      <c r="BB78" s="10">
        <v>2</v>
      </c>
      <c r="BC78" s="12" t="s">
        <v>51</v>
      </c>
      <c r="BD78" s="12" t="s">
        <v>585</v>
      </c>
      <c r="BE78" s="12"/>
      <c r="BF78" s="12"/>
      <c r="BH78" s="10"/>
      <c r="BI78" s="10">
        <v>2</v>
      </c>
      <c r="BJ78" s="12" t="s">
        <v>156</v>
      </c>
      <c r="BK78" s="12" t="s">
        <v>20</v>
      </c>
      <c r="BL78" s="12"/>
      <c r="BM78" s="12"/>
      <c r="BN78" s="12"/>
      <c r="BO78" s="10"/>
      <c r="BQ78" s="10"/>
      <c r="BR78" s="10">
        <v>2</v>
      </c>
      <c r="BS78" s="12" t="s">
        <v>54</v>
      </c>
      <c r="BT78" s="12" t="s">
        <v>574</v>
      </c>
      <c r="BU78" s="12"/>
      <c r="BV78" s="10"/>
      <c r="BX78" s="10"/>
      <c r="BY78" s="10">
        <v>2</v>
      </c>
      <c r="BZ78" s="12" t="s">
        <v>544</v>
      </c>
      <c r="CA78" s="12" t="s">
        <v>18</v>
      </c>
      <c r="CB78" s="12"/>
      <c r="CC78" s="10"/>
      <c r="CD78" s="10"/>
      <c r="CE78" s="10"/>
      <c r="CF78" s="10"/>
      <c r="CH78" s="10"/>
      <c r="CI78" s="10">
        <v>2</v>
      </c>
      <c r="CJ78" s="12"/>
      <c r="CK78" s="12"/>
      <c r="CL78" s="12"/>
      <c r="CM78" s="10"/>
      <c r="CO78" s="34"/>
      <c r="CP78" s="34">
        <v>2</v>
      </c>
      <c r="CQ78" s="37"/>
      <c r="CR78" s="37"/>
      <c r="CS78" s="37"/>
      <c r="CT78" s="34"/>
    </row>
    <row r="79" spans="1:98">
      <c r="A79" s="10"/>
      <c r="B79" s="10"/>
      <c r="C79" s="12">
        <v>0</v>
      </c>
      <c r="D79" s="12">
        <v>1</v>
      </c>
      <c r="E79" s="12"/>
      <c r="F79" s="10"/>
      <c r="G79" s="10"/>
      <c r="H79" s="10"/>
      <c r="I79" s="10"/>
      <c r="J79" s="10"/>
      <c r="L79" s="10"/>
      <c r="M79" s="10"/>
      <c r="N79" s="12">
        <v>2</v>
      </c>
      <c r="O79" s="12">
        <v>0</v>
      </c>
      <c r="P79" s="12"/>
      <c r="Q79" s="10"/>
      <c r="R79" s="10"/>
      <c r="S79" s="10"/>
      <c r="U79" s="10"/>
      <c r="V79" s="10"/>
      <c r="W79" s="12">
        <v>3</v>
      </c>
      <c r="X79" s="12">
        <v>0</v>
      </c>
      <c r="Y79" s="12"/>
      <c r="Z79" s="12"/>
      <c r="AA79" s="12"/>
      <c r="AB79" s="10"/>
      <c r="AD79" s="10"/>
      <c r="AE79" s="10"/>
      <c r="AF79" s="12">
        <v>1</v>
      </c>
      <c r="AG79" s="12">
        <v>-1</v>
      </c>
      <c r="AH79" s="12"/>
      <c r="AI79" s="10"/>
      <c r="AJ79" s="10"/>
      <c r="AK79" s="10"/>
      <c r="AM79" s="10"/>
      <c r="AN79" s="10"/>
      <c r="AO79" s="12">
        <v>0</v>
      </c>
      <c r="AP79" s="12">
        <v>2</v>
      </c>
      <c r="AQ79" s="12"/>
      <c r="AR79" s="10"/>
      <c r="AT79" s="10"/>
      <c r="AU79" s="10"/>
      <c r="AV79" s="12">
        <v>0</v>
      </c>
      <c r="AW79" s="12">
        <v>1</v>
      </c>
      <c r="AX79" s="12"/>
      <c r="AY79" s="10"/>
      <c r="BA79" s="10"/>
      <c r="BB79" s="10"/>
      <c r="BC79" s="12">
        <v>0</v>
      </c>
      <c r="BD79" s="12">
        <v>1</v>
      </c>
      <c r="BE79" s="12"/>
      <c r="BF79" s="12"/>
      <c r="BH79" s="10"/>
      <c r="BI79" s="10"/>
      <c r="BJ79" s="12">
        <v>2</v>
      </c>
      <c r="BK79" s="12">
        <v>0</v>
      </c>
      <c r="BL79" s="12"/>
      <c r="BM79" s="12"/>
      <c r="BN79" s="12"/>
      <c r="BO79" s="10"/>
      <c r="BQ79" s="10"/>
      <c r="BR79" s="10"/>
      <c r="BS79" s="12">
        <v>0</v>
      </c>
      <c r="BT79" s="12">
        <v>2</v>
      </c>
      <c r="BU79" s="12"/>
      <c r="BV79" s="10"/>
      <c r="BX79" s="10"/>
      <c r="BY79" s="10"/>
      <c r="BZ79" s="12">
        <v>2</v>
      </c>
      <c r="CA79" s="12">
        <v>0</v>
      </c>
      <c r="CB79" s="12"/>
      <c r="CC79" s="10"/>
      <c r="CD79" s="10"/>
      <c r="CE79" s="10"/>
      <c r="CF79" s="10"/>
      <c r="CH79" s="10"/>
      <c r="CI79" s="10"/>
      <c r="CJ79" s="12"/>
      <c r="CK79" s="12"/>
      <c r="CL79" s="12"/>
      <c r="CM79" s="10"/>
      <c r="CO79" s="34"/>
      <c r="CP79" s="34"/>
      <c r="CQ79" s="37"/>
      <c r="CR79" s="37"/>
      <c r="CS79" s="37"/>
      <c r="CT79" s="34"/>
    </row>
    <row r="80" spans="1:98">
      <c r="A80" s="10" t="s">
        <v>108</v>
      </c>
      <c r="B80" s="10">
        <v>3</v>
      </c>
      <c r="C80" s="12" t="s">
        <v>38</v>
      </c>
      <c r="D80" s="12" t="s">
        <v>568</v>
      </c>
      <c r="E80" s="12" t="s">
        <v>52</v>
      </c>
      <c r="F80" s="10"/>
      <c r="G80" s="10"/>
      <c r="H80" s="10"/>
      <c r="I80" s="10"/>
      <c r="J80" s="10"/>
      <c r="L80" s="10"/>
      <c r="M80" s="10">
        <v>3</v>
      </c>
      <c r="N80" s="12" t="s">
        <v>54</v>
      </c>
      <c r="O80" s="12" t="s">
        <v>144</v>
      </c>
      <c r="P80" s="10"/>
      <c r="Q80" s="10"/>
      <c r="R80" s="10"/>
      <c r="S80" s="10"/>
      <c r="U80" s="10" t="s">
        <v>233</v>
      </c>
      <c r="V80" s="10">
        <v>3</v>
      </c>
      <c r="W80" s="12" t="s">
        <v>445</v>
      </c>
      <c r="X80" s="12" t="s">
        <v>568</v>
      </c>
      <c r="Y80" s="10"/>
      <c r="Z80" s="10"/>
      <c r="AA80" s="10"/>
      <c r="AB80" s="10"/>
      <c r="AD80" s="10"/>
      <c r="AE80" s="10">
        <v>3</v>
      </c>
      <c r="AF80" s="12" t="s">
        <v>603</v>
      </c>
      <c r="AG80" s="12" t="s">
        <v>57</v>
      </c>
      <c r="AH80" s="10"/>
      <c r="AI80" s="10"/>
      <c r="AJ80" s="10"/>
      <c r="AK80" s="10"/>
      <c r="AM80" s="10"/>
      <c r="AN80" s="10">
        <v>3</v>
      </c>
      <c r="AO80" s="12" t="s">
        <v>145</v>
      </c>
      <c r="AP80" s="12" t="s">
        <v>52</v>
      </c>
      <c r="AQ80" s="10"/>
      <c r="AR80" s="10"/>
      <c r="AT80" s="10"/>
      <c r="AU80" s="10">
        <v>3</v>
      </c>
      <c r="AV80" s="12" t="s">
        <v>20</v>
      </c>
      <c r="AW80" s="12" t="s">
        <v>38</v>
      </c>
      <c r="AX80" s="10"/>
      <c r="AY80" s="10"/>
      <c r="BA80" s="10" t="s">
        <v>274</v>
      </c>
      <c r="BB80" s="10">
        <v>3</v>
      </c>
      <c r="BC80" s="12" t="s">
        <v>124</v>
      </c>
      <c r="BD80" s="12" t="s">
        <v>60</v>
      </c>
      <c r="BE80" s="10"/>
      <c r="BF80" s="12"/>
      <c r="BH80" s="10" t="s">
        <v>233</v>
      </c>
      <c r="BI80" s="10">
        <v>3</v>
      </c>
      <c r="BJ80" s="12" t="s">
        <v>263</v>
      </c>
      <c r="BK80" s="12" t="s">
        <v>8</v>
      </c>
      <c r="BL80" s="10"/>
      <c r="BM80" s="10"/>
      <c r="BN80" s="10"/>
      <c r="BO80" s="10"/>
      <c r="BQ80" s="10"/>
      <c r="BR80" s="10">
        <v>3</v>
      </c>
      <c r="BS80" s="12" t="s">
        <v>37</v>
      </c>
      <c r="BT80" s="12" t="s">
        <v>573</v>
      </c>
      <c r="BU80" s="10"/>
      <c r="BV80" s="10"/>
      <c r="BX80" s="10"/>
      <c r="BY80" s="10">
        <v>3</v>
      </c>
      <c r="BZ80" s="12" t="s">
        <v>47</v>
      </c>
      <c r="CA80" s="12" t="s">
        <v>596</v>
      </c>
      <c r="CB80" s="10"/>
      <c r="CC80" s="10"/>
      <c r="CD80" s="10"/>
      <c r="CE80" s="10"/>
      <c r="CF80" s="10"/>
      <c r="CH80" s="10"/>
      <c r="CI80" s="10">
        <v>3</v>
      </c>
      <c r="CJ80" s="12"/>
      <c r="CK80" s="12"/>
      <c r="CL80" s="10"/>
      <c r="CM80" s="10"/>
      <c r="CO80" s="34"/>
      <c r="CP80" s="34">
        <v>3</v>
      </c>
      <c r="CQ80" s="37"/>
      <c r="CR80" s="37"/>
      <c r="CS80" s="34"/>
      <c r="CT80" s="34"/>
    </row>
    <row r="81" spans="1:98">
      <c r="A81" s="10"/>
      <c r="B81" s="10"/>
      <c r="C81" s="12">
        <v>0</v>
      </c>
      <c r="D81" s="12">
        <v>1</v>
      </c>
      <c r="E81" s="12">
        <v>0</v>
      </c>
      <c r="F81" s="10"/>
      <c r="G81" s="10"/>
      <c r="H81" s="10"/>
      <c r="I81" s="10"/>
      <c r="J81" s="10"/>
      <c r="L81" s="10"/>
      <c r="M81" s="10"/>
      <c r="N81" s="12">
        <v>0</v>
      </c>
      <c r="O81" s="12">
        <v>1</v>
      </c>
      <c r="P81" s="12"/>
      <c r="Q81" s="10"/>
      <c r="R81" s="10"/>
      <c r="S81" s="10"/>
      <c r="U81" s="10" t="s">
        <v>742</v>
      </c>
      <c r="V81" s="10"/>
      <c r="W81" s="12">
        <v>0</v>
      </c>
      <c r="X81" s="12">
        <v>1</v>
      </c>
      <c r="Y81" s="12"/>
      <c r="Z81" s="12"/>
      <c r="AA81" s="12"/>
      <c r="AB81" s="10"/>
      <c r="AD81" s="10"/>
      <c r="AE81" s="10"/>
      <c r="AF81" s="12">
        <v>1</v>
      </c>
      <c r="AG81" s="12">
        <v>0</v>
      </c>
      <c r="AH81" s="12"/>
      <c r="AI81" s="10"/>
      <c r="AJ81" s="10"/>
      <c r="AK81" s="10"/>
      <c r="AM81" s="10"/>
      <c r="AN81" s="10"/>
      <c r="AO81" s="12">
        <v>3</v>
      </c>
      <c r="AP81" s="12">
        <v>0</v>
      </c>
      <c r="AQ81" s="12"/>
      <c r="AR81" s="10"/>
      <c r="AT81" s="10"/>
      <c r="AU81" s="10"/>
      <c r="AV81" s="12">
        <v>0</v>
      </c>
      <c r="AW81" s="12">
        <v>2</v>
      </c>
      <c r="AX81" s="12"/>
      <c r="AY81" s="10"/>
      <c r="BA81" s="10"/>
      <c r="BB81" s="10"/>
      <c r="BC81" s="12">
        <v>1</v>
      </c>
      <c r="BD81" s="12">
        <v>0</v>
      </c>
      <c r="BE81" s="12"/>
      <c r="BF81" s="12"/>
      <c r="BH81" s="10"/>
      <c r="BI81" s="10"/>
      <c r="BJ81" s="12">
        <v>1</v>
      </c>
      <c r="BK81" s="12">
        <v>-1</v>
      </c>
      <c r="BL81" s="12"/>
      <c r="BM81" s="12"/>
      <c r="BN81" s="12"/>
      <c r="BO81" s="10"/>
      <c r="BQ81" s="10"/>
      <c r="BR81" s="10"/>
      <c r="BS81" s="12">
        <v>0</v>
      </c>
      <c r="BT81" s="12">
        <v>1</v>
      </c>
      <c r="BU81" s="12"/>
      <c r="BV81" s="10"/>
      <c r="BX81" s="10"/>
      <c r="BY81" s="10"/>
      <c r="BZ81" s="12">
        <v>0</v>
      </c>
      <c r="CA81" s="12">
        <v>2</v>
      </c>
      <c r="CB81" s="12"/>
      <c r="CC81" s="10"/>
      <c r="CD81" s="10"/>
      <c r="CE81" s="10"/>
      <c r="CF81" s="10"/>
      <c r="CH81" s="10"/>
      <c r="CI81" s="10"/>
      <c r="CJ81" s="12"/>
      <c r="CK81" s="12"/>
      <c r="CL81" s="12"/>
      <c r="CM81" s="10"/>
      <c r="CO81" s="34"/>
      <c r="CP81" s="34"/>
      <c r="CQ81" s="37"/>
      <c r="CR81" s="37"/>
      <c r="CS81" s="37"/>
      <c r="CT81" s="34"/>
    </row>
    <row r="82" spans="1:98">
      <c r="A82" s="10"/>
      <c r="B82" s="10">
        <v>4</v>
      </c>
      <c r="C82" s="12" t="s">
        <v>122</v>
      </c>
      <c r="D82" s="12" t="s">
        <v>48</v>
      </c>
      <c r="E82" s="12"/>
      <c r="F82" s="10"/>
      <c r="G82" s="10"/>
      <c r="H82" s="10"/>
      <c r="I82" s="10"/>
      <c r="J82" s="10"/>
      <c r="L82" s="10"/>
      <c r="M82" s="10">
        <v>4</v>
      </c>
      <c r="N82" s="12" t="s">
        <v>543</v>
      </c>
      <c r="O82" s="12" t="s">
        <v>56</v>
      </c>
      <c r="P82" s="12"/>
      <c r="Q82" s="10"/>
      <c r="R82" s="10"/>
      <c r="S82" s="10"/>
      <c r="U82" s="10" t="s">
        <v>829</v>
      </c>
      <c r="V82" s="10">
        <v>4</v>
      </c>
      <c r="W82" s="12" t="s">
        <v>195</v>
      </c>
      <c r="X82" s="12" t="s">
        <v>54</v>
      </c>
      <c r="Y82" s="12"/>
      <c r="Z82" s="12"/>
      <c r="AA82" s="12"/>
      <c r="AB82" s="10"/>
      <c r="AD82" s="10"/>
      <c r="AE82" s="10">
        <v>4</v>
      </c>
      <c r="AF82" s="12" t="s">
        <v>166</v>
      </c>
      <c r="AG82" s="12" t="s">
        <v>20</v>
      </c>
      <c r="AH82" s="12"/>
      <c r="AI82" s="10"/>
      <c r="AJ82" s="10"/>
      <c r="AK82" s="10"/>
      <c r="AM82" s="10"/>
      <c r="AN82" s="10">
        <v>4</v>
      </c>
      <c r="AO82" s="12" t="s">
        <v>142</v>
      </c>
      <c r="AP82" s="12" t="s">
        <v>4</v>
      </c>
      <c r="AQ82" s="12"/>
      <c r="AR82" s="10"/>
      <c r="AT82" s="10"/>
      <c r="AU82" s="10">
        <v>4</v>
      </c>
      <c r="AV82" s="12" t="s">
        <v>558</v>
      </c>
      <c r="AW82" s="12" t="s">
        <v>60</v>
      </c>
      <c r="AX82" s="12"/>
      <c r="AY82" s="10"/>
      <c r="BA82" s="10" t="s">
        <v>276</v>
      </c>
      <c r="BB82" s="10">
        <v>4</v>
      </c>
      <c r="BC82" s="12" t="s">
        <v>38</v>
      </c>
      <c r="BD82" s="12" t="s">
        <v>112</v>
      </c>
      <c r="BE82" s="12"/>
      <c r="BF82" s="12"/>
      <c r="BH82" s="10"/>
      <c r="BI82" s="10">
        <v>4</v>
      </c>
      <c r="BJ82" s="12" t="s">
        <v>144</v>
      </c>
      <c r="BK82" s="12" t="s">
        <v>531</v>
      </c>
      <c r="BL82" s="12"/>
      <c r="BM82" s="12"/>
      <c r="BN82" s="12"/>
      <c r="BO82" s="10"/>
      <c r="BQ82" s="10"/>
      <c r="BR82" s="10">
        <v>4</v>
      </c>
      <c r="BS82" s="12" t="s">
        <v>150</v>
      </c>
      <c r="BT82" s="12" t="s">
        <v>531</v>
      </c>
      <c r="BU82" s="12"/>
      <c r="BV82" s="10"/>
      <c r="BX82" s="10" t="s">
        <v>805</v>
      </c>
      <c r="BY82" s="10">
        <v>4</v>
      </c>
      <c r="BZ82" s="12" t="s">
        <v>14</v>
      </c>
      <c r="CA82" s="12" t="s">
        <v>144</v>
      </c>
      <c r="CB82" s="12"/>
      <c r="CC82" s="10"/>
      <c r="CD82" s="10"/>
      <c r="CE82" s="10"/>
      <c r="CF82" s="10"/>
      <c r="CH82" s="10"/>
      <c r="CI82" s="10">
        <v>4</v>
      </c>
      <c r="CJ82" s="12"/>
      <c r="CK82" s="12"/>
      <c r="CL82" s="12"/>
      <c r="CM82" s="10"/>
      <c r="CO82" s="34"/>
      <c r="CP82" s="34">
        <v>4</v>
      </c>
      <c r="CQ82" s="37"/>
      <c r="CR82" s="37"/>
      <c r="CS82" s="37"/>
      <c r="CT82" s="34"/>
    </row>
    <row r="83" spans="1:98">
      <c r="A83" s="10"/>
      <c r="B83" s="10"/>
      <c r="C83" s="12">
        <v>1</v>
      </c>
      <c r="D83" s="12">
        <v>0</v>
      </c>
      <c r="E83" s="12"/>
      <c r="F83" s="10"/>
      <c r="G83" s="10"/>
      <c r="H83" s="10"/>
      <c r="I83" s="10"/>
      <c r="J83" s="10"/>
      <c r="L83" s="10"/>
      <c r="M83" s="10"/>
      <c r="N83" s="12">
        <v>1</v>
      </c>
      <c r="O83" s="12">
        <v>0</v>
      </c>
      <c r="P83" s="12"/>
      <c r="Q83" s="10"/>
      <c r="R83" s="10"/>
      <c r="S83" s="10"/>
      <c r="U83" s="10"/>
      <c r="V83" s="10"/>
      <c r="W83" s="12">
        <v>2</v>
      </c>
      <c r="X83" s="12">
        <v>0</v>
      </c>
      <c r="Y83" s="12"/>
      <c r="Z83" s="12"/>
      <c r="AA83" s="12"/>
      <c r="AB83" s="10"/>
      <c r="AD83" s="10"/>
      <c r="AE83" s="10"/>
      <c r="AF83" s="12">
        <v>2</v>
      </c>
      <c r="AG83" s="12">
        <v>0</v>
      </c>
      <c r="AH83" s="12"/>
      <c r="AI83" s="10"/>
      <c r="AJ83" s="10"/>
      <c r="AK83" s="10"/>
      <c r="AM83" s="10"/>
      <c r="AN83" s="10"/>
      <c r="AO83" s="12">
        <v>3</v>
      </c>
      <c r="AP83" s="12">
        <v>0</v>
      </c>
      <c r="AQ83" s="12"/>
      <c r="AR83" s="10"/>
      <c r="AT83" s="10"/>
      <c r="AU83" s="10"/>
      <c r="AV83" s="12">
        <v>2</v>
      </c>
      <c r="AW83" s="12">
        <v>0</v>
      </c>
      <c r="AX83" s="12"/>
      <c r="AY83" s="10"/>
      <c r="BA83" s="10"/>
      <c r="BB83" s="10"/>
      <c r="BC83" s="12">
        <v>0</v>
      </c>
      <c r="BD83" s="12">
        <v>1</v>
      </c>
      <c r="BE83" s="12"/>
      <c r="BF83" s="12"/>
      <c r="BH83" s="10"/>
      <c r="BI83" s="10"/>
      <c r="BJ83" s="12">
        <v>3</v>
      </c>
      <c r="BK83" s="12">
        <v>0</v>
      </c>
      <c r="BL83" s="12"/>
      <c r="BM83" s="12"/>
      <c r="BN83" s="12"/>
      <c r="BO83" s="10"/>
      <c r="BQ83" s="10"/>
      <c r="BR83" s="10"/>
      <c r="BS83" s="12">
        <v>3</v>
      </c>
      <c r="BT83" s="12">
        <v>0</v>
      </c>
      <c r="BU83" s="12"/>
      <c r="BV83" s="10"/>
      <c r="BX83" s="10"/>
      <c r="BY83" s="10"/>
      <c r="BZ83" s="12">
        <v>0</v>
      </c>
      <c r="CA83" s="12">
        <v>2</v>
      </c>
      <c r="CB83" s="12"/>
      <c r="CC83" s="10"/>
      <c r="CD83" s="10"/>
      <c r="CE83" s="10"/>
      <c r="CF83" s="10"/>
      <c r="CH83" s="10"/>
      <c r="CI83" s="10"/>
      <c r="CJ83" s="12"/>
      <c r="CK83" s="12"/>
      <c r="CL83" s="12"/>
      <c r="CM83" s="10"/>
      <c r="CO83" s="34"/>
      <c r="CP83" s="34"/>
      <c r="CQ83" s="37"/>
      <c r="CR83" s="37"/>
      <c r="CS83" s="37"/>
      <c r="CT83" s="34"/>
    </row>
    <row r="84" spans="1:98">
      <c r="A84" s="10" t="s">
        <v>87</v>
      </c>
      <c r="B84" s="10">
        <v>5</v>
      </c>
      <c r="C84" s="12" t="s">
        <v>51</v>
      </c>
      <c r="D84" s="12" t="s">
        <v>83</v>
      </c>
      <c r="E84" s="12"/>
      <c r="F84" s="10"/>
      <c r="G84" s="10"/>
      <c r="H84" s="10"/>
      <c r="I84" s="10"/>
      <c r="J84" s="10"/>
      <c r="L84" s="10" t="s">
        <v>87</v>
      </c>
      <c r="M84" s="10">
        <v>5</v>
      </c>
      <c r="N84" s="12" t="s">
        <v>38</v>
      </c>
      <c r="O84" s="12" t="s">
        <v>83</v>
      </c>
      <c r="P84" s="12"/>
      <c r="Q84" s="10"/>
      <c r="R84" s="10"/>
      <c r="S84" s="10"/>
      <c r="U84" s="10" t="s">
        <v>829</v>
      </c>
      <c r="V84" s="10">
        <v>5</v>
      </c>
      <c r="W84" s="12" t="s">
        <v>49</v>
      </c>
      <c r="X84" s="12" t="s">
        <v>70</v>
      </c>
      <c r="Y84" s="12"/>
      <c r="Z84" s="12"/>
      <c r="AA84" s="12"/>
      <c r="AB84" s="10"/>
      <c r="AD84" s="10" t="s">
        <v>220</v>
      </c>
      <c r="AE84" s="10">
        <v>5</v>
      </c>
      <c r="AF84" s="12" t="s">
        <v>70</v>
      </c>
      <c r="AG84" s="12" t="s">
        <v>13</v>
      </c>
      <c r="AH84" s="12"/>
      <c r="AI84" s="10"/>
      <c r="AJ84" s="10"/>
      <c r="AK84" s="10"/>
      <c r="AM84" s="10" t="s">
        <v>87</v>
      </c>
      <c r="AN84" s="10">
        <v>5</v>
      </c>
      <c r="AO84" s="12" t="s">
        <v>83</v>
      </c>
      <c r="AP84" s="12" t="s">
        <v>45</v>
      </c>
      <c r="AQ84" s="12"/>
      <c r="AR84" s="10"/>
      <c r="AT84" s="10" t="s">
        <v>139</v>
      </c>
      <c r="AU84" s="10">
        <v>5</v>
      </c>
      <c r="AV84" s="12" t="s">
        <v>445</v>
      </c>
      <c r="AW84" s="30" t="s">
        <v>76</v>
      </c>
      <c r="AX84" s="12" t="s">
        <v>544</v>
      </c>
      <c r="AY84" s="10" t="s">
        <v>145</v>
      </c>
      <c r="BA84" s="10" t="s">
        <v>644</v>
      </c>
      <c r="BB84" s="10">
        <v>5</v>
      </c>
      <c r="BC84" s="12" t="s">
        <v>47</v>
      </c>
      <c r="BD84" s="12" t="s">
        <v>144</v>
      </c>
      <c r="BE84" s="12"/>
      <c r="BF84" s="12"/>
      <c r="BH84" s="10" t="s">
        <v>306</v>
      </c>
      <c r="BI84" s="10">
        <v>5</v>
      </c>
      <c r="BJ84" s="12" t="s">
        <v>37</v>
      </c>
      <c r="BK84" s="12" t="s">
        <v>112</v>
      </c>
      <c r="BL84" s="12"/>
      <c r="BM84" s="12"/>
      <c r="BN84" s="12"/>
      <c r="BO84" s="10"/>
      <c r="BQ84" s="10" t="s">
        <v>87</v>
      </c>
      <c r="BR84" s="10">
        <v>5</v>
      </c>
      <c r="BS84" s="12" t="s">
        <v>64</v>
      </c>
      <c r="BT84" s="12" t="s">
        <v>558</v>
      </c>
      <c r="BU84" s="12"/>
      <c r="BV84" s="10"/>
      <c r="BX84" s="10" t="s">
        <v>87</v>
      </c>
      <c r="BY84" s="10">
        <v>5</v>
      </c>
      <c r="BZ84" s="12" t="s">
        <v>117</v>
      </c>
      <c r="CA84" s="12" t="s">
        <v>38</v>
      </c>
      <c r="CB84" s="12"/>
      <c r="CC84" s="10"/>
      <c r="CD84" s="10"/>
      <c r="CE84" s="10"/>
      <c r="CF84" s="10"/>
      <c r="CH84" s="10"/>
      <c r="CI84" s="10">
        <v>5</v>
      </c>
      <c r="CJ84" s="12"/>
      <c r="CK84" s="12"/>
      <c r="CL84" s="12"/>
      <c r="CM84" s="10"/>
      <c r="CO84" s="34"/>
      <c r="CP84" s="34">
        <v>5</v>
      </c>
      <c r="CQ84" s="37"/>
      <c r="CR84" s="37"/>
      <c r="CS84" s="37"/>
      <c r="CT84" s="34"/>
    </row>
    <row r="85" spans="1:98">
      <c r="A85" s="10" t="s">
        <v>727</v>
      </c>
      <c r="B85" s="10"/>
      <c r="C85" s="12">
        <v>0</v>
      </c>
      <c r="D85" s="12">
        <v>1</v>
      </c>
      <c r="E85" s="12"/>
      <c r="F85" s="10"/>
      <c r="G85" s="10"/>
      <c r="H85" s="10"/>
      <c r="I85" s="10"/>
      <c r="J85" s="10"/>
      <c r="L85" s="10"/>
      <c r="M85" s="10"/>
      <c r="N85" s="12">
        <v>0</v>
      </c>
      <c r="O85" s="12">
        <v>1</v>
      </c>
      <c r="P85" s="12"/>
      <c r="Q85" s="10"/>
      <c r="R85" s="10"/>
      <c r="S85" s="10"/>
      <c r="U85" s="10"/>
      <c r="V85" s="10"/>
      <c r="W85" s="12">
        <v>0</v>
      </c>
      <c r="X85" s="12">
        <v>2</v>
      </c>
      <c r="Y85" s="12"/>
      <c r="Z85" s="12"/>
      <c r="AA85" s="12"/>
      <c r="AB85" s="10"/>
      <c r="AD85" s="10"/>
      <c r="AE85" s="10"/>
      <c r="AF85" s="12">
        <v>1</v>
      </c>
      <c r="AG85" s="12">
        <v>0</v>
      </c>
      <c r="AH85" s="12"/>
      <c r="AI85" s="10"/>
      <c r="AJ85" s="10"/>
      <c r="AK85" s="10"/>
      <c r="AM85" s="10"/>
      <c r="AN85" s="10"/>
      <c r="AO85" s="12">
        <v>2</v>
      </c>
      <c r="AP85" s="12">
        <v>0</v>
      </c>
      <c r="AQ85" s="12"/>
      <c r="AR85" s="10"/>
      <c r="AT85" s="10" t="s">
        <v>780</v>
      </c>
      <c r="AU85" s="10"/>
      <c r="AV85" s="12">
        <v>-1</v>
      </c>
      <c r="AW85" s="12">
        <v>-1</v>
      </c>
      <c r="AX85" s="12">
        <v>2</v>
      </c>
      <c r="AY85" s="10">
        <v>0</v>
      </c>
      <c r="BA85" s="10" t="s">
        <v>884</v>
      </c>
      <c r="BB85" s="10"/>
      <c r="BC85" s="12">
        <v>0</v>
      </c>
      <c r="BD85" s="12">
        <v>1</v>
      </c>
      <c r="BE85" s="12"/>
      <c r="BF85" s="12"/>
      <c r="BH85" s="10"/>
      <c r="BI85" s="10"/>
      <c r="BJ85" s="12">
        <v>0</v>
      </c>
      <c r="BK85" s="12">
        <v>1</v>
      </c>
      <c r="BL85" s="12"/>
      <c r="BM85" s="12"/>
      <c r="BN85" s="12"/>
      <c r="BO85" s="10"/>
      <c r="BQ85" s="10"/>
      <c r="BR85" s="10"/>
      <c r="BS85" s="12">
        <v>0</v>
      </c>
      <c r="BT85" s="12">
        <v>1</v>
      </c>
      <c r="BU85" s="12"/>
      <c r="BV85" s="10"/>
      <c r="BX85" s="10"/>
      <c r="BY85" s="10"/>
      <c r="BZ85" s="12">
        <v>1</v>
      </c>
      <c r="CA85" s="12">
        <v>0</v>
      </c>
      <c r="CB85" s="12"/>
      <c r="CC85" s="10"/>
      <c r="CD85" s="10"/>
      <c r="CE85" s="10"/>
      <c r="CF85" s="10"/>
      <c r="CH85" s="10"/>
      <c r="CI85" s="10"/>
      <c r="CJ85" s="12"/>
      <c r="CK85" s="12"/>
      <c r="CL85" s="12"/>
      <c r="CM85" s="10"/>
      <c r="CO85" s="34"/>
      <c r="CP85" s="34"/>
      <c r="CQ85" s="37"/>
      <c r="CR85" s="37"/>
      <c r="CS85" s="37"/>
      <c r="CT85" s="34"/>
    </row>
    <row r="86" spans="1:98">
      <c r="C86" s="6"/>
      <c r="D86" s="6"/>
      <c r="N86" s="6"/>
      <c r="O86" s="6"/>
      <c r="W86" s="6"/>
      <c r="X86" s="6"/>
      <c r="AF86" s="6"/>
      <c r="AG86" s="6"/>
      <c r="AO86" s="6"/>
      <c r="AP86" s="6"/>
      <c r="AV86" s="6"/>
      <c r="AW86" s="6"/>
      <c r="BC86" s="6"/>
      <c r="BD86" s="6"/>
      <c r="BJ86" s="6"/>
      <c r="BK86" s="6"/>
      <c r="BS86" s="6"/>
      <c r="BT86" s="6"/>
      <c r="BZ86" s="6"/>
      <c r="CA86" s="6"/>
      <c r="CJ86" s="6"/>
      <c r="CK86" s="6"/>
      <c r="CO86" s="32"/>
      <c r="CP86" s="32"/>
      <c r="CQ86" s="33"/>
      <c r="CR86" s="33"/>
      <c r="CS86" s="32"/>
      <c r="CT86" s="32"/>
    </row>
    <row r="87" spans="1:98" ht="21">
      <c r="A87" s="7"/>
      <c r="B87" s="8" t="s">
        <v>73</v>
      </c>
      <c r="C87" s="28" t="s">
        <v>456</v>
      </c>
      <c r="D87" s="9"/>
      <c r="E87" s="7"/>
      <c r="F87" s="7"/>
      <c r="G87" s="7"/>
      <c r="H87" s="7"/>
      <c r="I87" s="7"/>
      <c r="J87" s="7"/>
      <c r="L87" s="7"/>
      <c r="M87" s="8" t="s">
        <v>73</v>
      </c>
      <c r="N87" s="28" t="s">
        <v>462</v>
      </c>
      <c r="O87" s="9"/>
      <c r="P87" s="7"/>
      <c r="Q87" s="7"/>
      <c r="R87" s="7"/>
      <c r="S87" s="7"/>
      <c r="U87" s="7"/>
      <c r="V87" s="8" t="s">
        <v>73</v>
      </c>
      <c r="W87" s="28" t="s">
        <v>133</v>
      </c>
      <c r="X87" s="9"/>
      <c r="Y87" s="7"/>
      <c r="Z87" s="7"/>
      <c r="AA87" s="7"/>
      <c r="AB87" s="7"/>
      <c r="AD87" s="7"/>
      <c r="AE87" s="8" t="s">
        <v>73</v>
      </c>
      <c r="AF87" s="28" t="s">
        <v>180</v>
      </c>
      <c r="AG87" s="9"/>
      <c r="AH87" s="7"/>
      <c r="AI87" s="7"/>
      <c r="AJ87" s="7"/>
      <c r="AK87" s="7"/>
      <c r="AM87" s="7"/>
      <c r="AN87" s="8" t="s">
        <v>73</v>
      </c>
      <c r="AO87" s="28" t="s">
        <v>468</v>
      </c>
      <c r="AP87" s="9"/>
      <c r="AQ87" s="7"/>
      <c r="AR87" s="7"/>
      <c r="AT87" s="7"/>
      <c r="AU87" s="8" t="s">
        <v>73</v>
      </c>
      <c r="AV87" s="28" t="s">
        <v>476</v>
      </c>
      <c r="AW87" s="9"/>
      <c r="AX87" s="7"/>
      <c r="AY87" s="7"/>
      <c r="BA87" s="7"/>
      <c r="BB87" s="8" t="s">
        <v>73</v>
      </c>
      <c r="BC87" s="28" t="s">
        <v>484</v>
      </c>
      <c r="BD87" s="9"/>
      <c r="BE87" s="7"/>
      <c r="BF87" s="9"/>
      <c r="BH87" s="7"/>
      <c r="BI87" s="8" t="s">
        <v>73</v>
      </c>
      <c r="BJ87" s="28" t="s">
        <v>809</v>
      </c>
      <c r="BK87" s="9"/>
      <c r="BL87" s="7"/>
      <c r="BM87" s="7"/>
      <c r="BN87" s="7"/>
      <c r="BO87" s="7"/>
      <c r="BQ87" s="7"/>
      <c r="BR87" s="8" t="s">
        <v>73</v>
      </c>
      <c r="BS87" s="28" t="s">
        <v>496</v>
      </c>
      <c r="BT87" s="9"/>
      <c r="BU87" s="7"/>
      <c r="BV87" s="7"/>
      <c r="BX87" s="7"/>
      <c r="BY87" s="8" t="s">
        <v>73</v>
      </c>
      <c r="BZ87" s="28" t="s">
        <v>504</v>
      </c>
      <c r="CA87" s="9"/>
      <c r="CB87" s="7"/>
      <c r="CC87" s="7"/>
      <c r="CD87" s="7"/>
      <c r="CE87" s="7"/>
      <c r="CF87" s="7"/>
      <c r="CH87" s="7"/>
      <c r="CI87" s="8" t="s">
        <v>73</v>
      </c>
      <c r="CJ87" s="28" t="s">
        <v>121</v>
      </c>
      <c r="CK87" s="9"/>
      <c r="CL87" s="7"/>
      <c r="CM87" s="7"/>
      <c r="CO87" s="38"/>
      <c r="CP87" s="39" t="s">
        <v>189</v>
      </c>
      <c r="CQ87" s="40" t="s">
        <v>152</v>
      </c>
      <c r="CR87" s="41"/>
      <c r="CS87" s="38"/>
      <c r="CT87" s="38"/>
    </row>
    <row r="88" spans="1:98">
      <c r="A88" s="7"/>
      <c r="B88" s="7">
        <v>1</v>
      </c>
      <c r="C88" s="9" t="s">
        <v>588</v>
      </c>
      <c r="D88" s="9" t="s">
        <v>728</v>
      </c>
      <c r="E88" s="9"/>
      <c r="F88" s="7"/>
      <c r="G88" s="7"/>
      <c r="H88" s="7"/>
      <c r="I88" s="7"/>
      <c r="J88" s="7"/>
      <c r="L88" s="7"/>
      <c r="M88" s="7">
        <v>1</v>
      </c>
      <c r="N88" s="9" t="s">
        <v>75</v>
      </c>
      <c r="O88" s="9" t="s">
        <v>10</v>
      </c>
      <c r="P88" s="9"/>
      <c r="Q88" s="7"/>
      <c r="R88" s="7"/>
      <c r="S88" s="7"/>
      <c r="U88" s="7"/>
      <c r="V88" s="7">
        <v>1</v>
      </c>
      <c r="W88" s="9" t="s">
        <v>560</v>
      </c>
      <c r="X88" s="9" t="s">
        <v>50</v>
      </c>
      <c r="Y88" s="9"/>
      <c r="Z88" s="9"/>
      <c r="AA88" s="9"/>
      <c r="AB88" s="7"/>
      <c r="AD88" s="7"/>
      <c r="AE88" s="7">
        <v>1</v>
      </c>
      <c r="AF88" s="9" t="s">
        <v>143</v>
      </c>
      <c r="AG88" s="9" t="s">
        <v>16</v>
      </c>
      <c r="AH88" s="9"/>
      <c r="AI88" s="7"/>
      <c r="AJ88" s="7"/>
      <c r="AK88" s="7"/>
      <c r="AM88" s="7"/>
      <c r="AN88" s="7">
        <v>1</v>
      </c>
      <c r="AO88" s="9" t="s">
        <v>326</v>
      </c>
      <c r="AP88" s="9" t="s">
        <v>547</v>
      </c>
      <c r="AQ88" s="9"/>
      <c r="AR88" s="7"/>
      <c r="AT88" s="7"/>
      <c r="AU88" s="7">
        <v>1</v>
      </c>
      <c r="AV88" s="9" t="s">
        <v>75</v>
      </c>
      <c r="AW88" s="9" t="s">
        <v>722</v>
      </c>
      <c r="AX88" s="9"/>
      <c r="AY88" s="7"/>
      <c r="BA88" s="7"/>
      <c r="BB88" s="7">
        <v>1</v>
      </c>
      <c r="BC88" s="9" t="s">
        <v>549</v>
      </c>
      <c r="BD88" s="9" t="s">
        <v>722</v>
      </c>
      <c r="BE88" s="9"/>
      <c r="BF88" s="9"/>
      <c r="BH88" s="7"/>
      <c r="BI88" s="7">
        <v>1</v>
      </c>
      <c r="BJ88" s="9" t="s">
        <v>549</v>
      </c>
      <c r="BK88" s="9" t="s">
        <v>10</v>
      </c>
      <c r="BL88" s="9"/>
      <c r="BM88" s="9"/>
      <c r="BN88" s="9"/>
      <c r="BO88" s="7"/>
      <c r="BQ88" s="7"/>
      <c r="BR88" s="7">
        <v>1</v>
      </c>
      <c r="BS88" s="9" t="s">
        <v>96</v>
      </c>
      <c r="BT88" s="9" t="s">
        <v>82</v>
      </c>
      <c r="BU88" s="9"/>
      <c r="BV88" s="7"/>
      <c r="BX88" s="7"/>
      <c r="BY88" s="7">
        <v>1</v>
      </c>
      <c r="BZ88" s="9" t="s">
        <v>23</v>
      </c>
      <c r="CA88" s="9" t="s">
        <v>96</v>
      </c>
      <c r="CB88" s="9"/>
      <c r="CC88" s="7"/>
      <c r="CD88" s="7"/>
      <c r="CE88" s="7"/>
      <c r="CF88" s="7"/>
      <c r="CH88" s="7"/>
      <c r="CI88" s="7">
        <v>1</v>
      </c>
      <c r="CJ88" s="9"/>
      <c r="CK88" s="9"/>
      <c r="CL88" s="9"/>
      <c r="CM88" s="7"/>
      <c r="CO88" s="38"/>
      <c r="CP88" s="38">
        <v>1</v>
      </c>
      <c r="CQ88" s="41"/>
      <c r="CR88" s="41"/>
      <c r="CS88" s="41"/>
      <c r="CT88" s="38"/>
    </row>
    <row r="89" spans="1:98">
      <c r="A89" s="7"/>
      <c r="B89" s="7"/>
      <c r="C89" s="9">
        <v>3</v>
      </c>
      <c r="D89" s="9">
        <v>0</v>
      </c>
      <c r="E89" s="9"/>
      <c r="F89" s="7"/>
      <c r="G89" s="7"/>
      <c r="H89" s="7"/>
      <c r="I89" s="7"/>
      <c r="J89" s="7"/>
      <c r="L89" s="7"/>
      <c r="M89" s="7"/>
      <c r="N89" s="9">
        <v>2</v>
      </c>
      <c r="O89" s="9">
        <v>0</v>
      </c>
      <c r="P89" s="9"/>
      <c r="Q89" s="7"/>
      <c r="R89" s="7"/>
      <c r="S89" s="7"/>
      <c r="U89" s="7"/>
      <c r="V89" s="7"/>
      <c r="W89" s="9">
        <v>3</v>
      </c>
      <c r="X89" s="9">
        <v>0</v>
      </c>
      <c r="Y89" s="9"/>
      <c r="Z89" s="9"/>
      <c r="AA89" s="9"/>
      <c r="AB89" s="7"/>
      <c r="AD89" s="7"/>
      <c r="AE89" s="7"/>
      <c r="AF89" s="9">
        <v>2</v>
      </c>
      <c r="AG89" s="9">
        <v>0</v>
      </c>
      <c r="AH89" s="9"/>
      <c r="AI89" s="7"/>
      <c r="AJ89" s="7"/>
      <c r="AK89" s="7"/>
      <c r="AM89" s="7"/>
      <c r="AN89" s="7"/>
      <c r="AO89" s="9">
        <v>0</v>
      </c>
      <c r="AP89" s="9">
        <v>2</v>
      </c>
      <c r="AQ89" s="9"/>
      <c r="AR89" s="7"/>
      <c r="AT89" s="7"/>
      <c r="AU89" s="7"/>
      <c r="AV89" s="9">
        <v>3</v>
      </c>
      <c r="AW89" s="9">
        <v>0</v>
      </c>
      <c r="AX89" s="9"/>
      <c r="AY89" s="7"/>
      <c r="BA89" s="7"/>
      <c r="BB89" s="7"/>
      <c r="BC89" s="9">
        <v>2</v>
      </c>
      <c r="BD89" s="9">
        <v>0</v>
      </c>
      <c r="BE89" s="9"/>
      <c r="BF89" s="9"/>
      <c r="BH89" s="7"/>
      <c r="BI89" s="7"/>
      <c r="BJ89" s="9">
        <v>2</v>
      </c>
      <c r="BK89" s="9">
        <v>0</v>
      </c>
      <c r="BL89" s="9"/>
      <c r="BM89" s="9"/>
      <c r="BN89" s="9"/>
      <c r="BO89" s="7"/>
      <c r="BQ89" s="7"/>
      <c r="BR89" s="7"/>
      <c r="BS89" s="9">
        <v>2</v>
      </c>
      <c r="BT89" s="9">
        <v>0</v>
      </c>
      <c r="BU89" s="9"/>
      <c r="BV89" s="7"/>
      <c r="BX89" s="7"/>
      <c r="BY89" s="7"/>
      <c r="BZ89" s="9">
        <v>0</v>
      </c>
      <c r="CA89" s="9">
        <v>1</v>
      </c>
      <c r="CB89" s="9"/>
      <c r="CC89" s="7"/>
      <c r="CD89" s="7"/>
      <c r="CE89" s="7"/>
      <c r="CF89" s="7"/>
      <c r="CH89" s="7"/>
      <c r="CI89" s="7"/>
      <c r="CJ89" s="9"/>
      <c r="CK89" s="9"/>
      <c r="CL89" s="9"/>
      <c r="CM89" s="7"/>
      <c r="CO89" s="38"/>
      <c r="CP89" s="38"/>
      <c r="CQ89" s="41"/>
      <c r="CR89" s="41"/>
      <c r="CS89" s="41"/>
      <c r="CT89" s="38"/>
    </row>
    <row r="90" spans="1:98">
      <c r="A90" s="7"/>
      <c r="B90" s="7">
        <v>2</v>
      </c>
      <c r="C90" s="9" t="s">
        <v>549</v>
      </c>
      <c r="D90" s="9" t="s">
        <v>16</v>
      </c>
      <c r="E90" s="9"/>
      <c r="F90" s="7"/>
      <c r="G90" s="7"/>
      <c r="H90" s="7"/>
      <c r="I90" s="7"/>
      <c r="J90" s="7"/>
      <c r="L90" s="7"/>
      <c r="M90" s="7">
        <v>2</v>
      </c>
      <c r="N90" s="9" t="s">
        <v>588</v>
      </c>
      <c r="O90" s="9" t="s">
        <v>15</v>
      </c>
      <c r="P90" s="9"/>
      <c r="Q90" s="7"/>
      <c r="R90" s="7"/>
      <c r="S90" s="7"/>
      <c r="U90" s="7"/>
      <c r="V90" s="7">
        <v>2</v>
      </c>
      <c r="W90" s="9" t="s">
        <v>41</v>
      </c>
      <c r="X90" s="9" t="s">
        <v>81</v>
      </c>
      <c r="Y90" s="9"/>
      <c r="Z90" s="9"/>
      <c r="AA90" s="9"/>
      <c r="AB90" s="7"/>
      <c r="AD90" s="7"/>
      <c r="AE90" s="7">
        <v>2</v>
      </c>
      <c r="AF90" s="9" t="s">
        <v>588</v>
      </c>
      <c r="AG90" s="9" t="s">
        <v>58</v>
      </c>
      <c r="AH90" s="9"/>
      <c r="AI90" s="7"/>
      <c r="AJ90" s="7"/>
      <c r="AK90" s="7"/>
      <c r="AM90" s="7"/>
      <c r="AN90" s="7">
        <v>2</v>
      </c>
      <c r="AO90" s="9" t="s">
        <v>143</v>
      </c>
      <c r="AP90" s="9" t="s">
        <v>37</v>
      </c>
      <c r="AQ90" s="9"/>
      <c r="AR90" s="7"/>
      <c r="AT90" s="7"/>
      <c r="AU90" s="7">
        <v>2</v>
      </c>
      <c r="AV90" s="9" t="s">
        <v>567</v>
      </c>
      <c r="AW90" s="9" t="s">
        <v>15</v>
      </c>
      <c r="AX90" s="9"/>
      <c r="AY90" s="7"/>
      <c r="BA90" s="7"/>
      <c r="BB90" s="7">
        <v>2</v>
      </c>
      <c r="BC90" s="9" t="s">
        <v>81</v>
      </c>
      <c r="BD90" s="9" t="s">
        <v>15</v>
      </c>
      <c r="BE90" s="9"/>
      <c r="BF90" s="9"/>
      <c r="BH90" s="7"/>
      <c r="BI90" s="7">
        <v>2</v>
      </c>
      <c r="BJ90" s="9" t="s">
        <v>11</v>
      </c>
      <c r="BK90" s="9" t="s">
        <v>567</v>
      </c>
      <c r="BL90" s="9"/>
      <c r="BM90" s="9"/>
      <c r="BN90" s="9"/>
      <c r="BO90" s="7"/>
      <c r="BQ90" s="7"/>
      <c r="BR90" s="7">
        <v>2</v>
      </c>
      <c r="BS90" s="9" t="s">
        <v>567</v>
      </c>
      <c r="BT90" s="9" t="s">
        <v>66</v>
      </c>
      <c r="BU90" s="9"/>
      <c r="BV90" s="7"/>
      <c r="BX90" s="7"/>
      <c r="BY90" s="7">
        <v>2</v>
      </c>
      <c r="BZ90" s="9" t="s">
        <v>542</v>
      </c>
      <c r="CA90" s="9" t="s">
        <v>577</v>
      </c>
      <c r="CB90" s="9"/>
      <c r="CC90" s="7"/>
      <c r="CD90" s="7"/>
      <c r="CE90" s="7"/>
      <c r="CF90" s="7"/>
      <c r="CH90" s="7"/>
      <c r="CI90" s="7">
        <v>2</v>
      </c>
      <c r="CJ90" s="9"/>
      <c r="CK90" s="9"/>
      <c r="CL90" s="9"/>
      <c r="CM90" s="7"/>
      <c r="CO90" s="38"/>
      <c r="CP90" s="38">
        <v>2</v>
      </c>
      <c r="CQ90" s="41"/>
      <c r="CR90" s="41"/>
      <c r="CS90" s="41"/>
      <c r="CT90" s="38"/>
    </row>
    <row r="91" spans="1:98">
      <c r="A91" s="7"/>
      <c r="B91" s="7"/>
      <c r="C91" s="9">
        <v>2</v>
      </c>
      <c r="D91" s="9">
        <v>0</v>
      </c>
      <c r="E91" s="9"/>
      <c r="F91" s="7"/>
      <c r="G91" s="7"/>
      <c r="H91" s="7"/>
      <c r="I91" s="7"/>
      <c r="J91" s="7"/>
      <c r="L91" s="7"/>
      <c r="M91" s="7"/>
      <c r="N91" s="9">
        <v>3</v>
      </c>
      <c r="O91" s="9">
        <v>0</v>
      </c>
      <c r="P91" s="9"/>
      <c r="Q91" s="7"/>
      <c r="R91" s="7"/>
      <c r="S91" s="7"/>
      <c r="U91" s="7"/>
      <c r="V91" s="7"/>
      <c r="W91" s="9">
        <v>0</v>
      </c>
      <c r="X91" s="9">
        <v>1</v>
      </c>
      <c r="Y91" s="9"/>
      <c r="Z91" s="9"/>
      <c r="AA91" s="9"/>
      <c r="AB91" s="7"/>
      <c r="AD91" s="7"/>
      <c r="AE91" s="7"/>
      <c r="AF91" s="9">
        <v>2</v>
      </c>
      <c r="AG91" s="9">
        <v>0</v>
      </c>
      <c r="AH91" s="9"/>
      <c r="AI91" s="7"/>
      <c r="AJ91" s="7"/>
      <c r="AK91" s="7"/>
      <c r="AM91" s="7"/>
      <c r="AN91" s="7"/>
      <c r="AO91" s="9">
        <v>3</v>
      </c>
      <c r="AP91" s="9">
        <v>0</v>
      </c>
      <c r="AQ91" s="9"/>
      <c r="AR91" s="7"/>
      <c r="AT91" s="7"/>
      <c r="AU91" s="7"/>
      <c r="AV91" s="9">
        <v>3</v>
      </c>
      <c r="AW91" s="9">
        <v>0</v>
      </c>
      <c r="AX91" s="9"/>
      <c r="AY91" s="7"/>
      <c r="BA91" s="7"/>
      <c r="BB91" s="7"/>
      <c r="BC91" s="9">
        <v>2</v>
      </c>
      <c r="BD91" s="9">
        <v>0</v>
      </c>
      <c r="BE91" s="9"/>
      <c r="BF91" s="9"/>
      <c r="BH91" s="7"/>
      <c r="BI91" s="7"/>
      <c r="BJ91" s="9">
        <v>0</v>
      </c>
      <c r="BK91" s="9">
        <v>1</v>
      </c>
      <c r="BL91" s="9"/>
      <c r="BM91" s="9"/>
      <c r="BN91" s="9"/>
      <c r="BO91" s="7"/>
      <c r="BQ91" s="7"/>
      <c r="BR91" s="7"/>
      <c r="BS91" s="9">
        <v>1</v>
      </c>
      <c r="BT91" s="9">
        <v>0</v>
      </c>
      <c r="BU91" s="9"/>
      <c r="BV91" s="7"/>
      <c r="BX91" s="7"/>
      <c r="BY91" s="7"/>
      <c r="BZ91" s="9">
        <v>0</v>
      </c>
      <c r="CA91" s="9">
        <v>1</v>
      </c>
      <c r="CB91" s="9"/>
      <c r="CC91" s="7"/>
      <c r="CD91" s="7"/>
      <c r="CE91" s="7"/>
      <c r="CF91" s="7"/>
      <c r="CH91" s="7"/>
      <c r="CI91" s="7"/>
      <c r="CJ91" s="9"/>
      <c r="CK91" s="9"/>
      <c r="CL91" s="9"/>
      <c r="CM91" s="7"/>
      <c r="CO91" s="38"/>
      <c r="CP91" s="38"/>
      <c r="CQ91" s="41"/>
      <c r="CR91" s="41"/>
      <c r="CS91" s="41"/>
      <c r="CT91" s="38"/>
    </row>
    <row r="92" spans="1:98">
      <c r="A92" s="7"/>
      <c r="B92" s="7">
        <v>3</v>
      </c>
      <c r="C92" s="9" t="s">
        <v>81</v>
      </c>
      <c r="D92" s="9" t="s">
        <v>17</v>
      </c>
      <c r="E92" s="7"/>
      <c r="F92" s="7"/>
      <c r="G92" s="7"/>
      <c r="H92" s="7"/>
      <c r="I92" s="7"/>
      <c r="J92" s="7"/>
      <c r="L92" s="7" t="s">
        <v>158</v>
      </c>
      <c r="M92" s="7">
        <v>3</v>
      </c>
      <c r="N92" s="9" t="s">
        <v>96</v>
      </c>
      <c r="O92" s="9" t="s">
        <v>58</v>
      </c>
      <c r="P92" s="7"/>
      <c r="Q92" s="7"/>
      <c r="R92" s="7"/>
      <c r="S92" s="7"/>
      <c r="U92" s="7"/>
      <c r="V92" s="7">
        <v>3</v>
      </c>
      <c r="W92" s="9" t="s">
        <v>577</v>
      </c>
      <c r="X92" s="9" t="s">
        <v>16</v>
      </c>
      <c r="Y92" s="7"/>
      <c r="Z92" s="7"/>
      <c r="AA92" s="7"/>
      <c r="AB92" s="7"/>
      <c r="AD92" s="7" t="s">
        <v>220</v>
      </c>
      <c r="AE92" s="7">
        <v>3</v>
      </c>
      <c r="AF92" s="9" t="s">
        <v>2</v>
      </c>
      <c r="AG92" s="9" t="s">
        <v>549</v>
      </c>
      <c r="AH92" s="7"/>
      <c r="AI92" s="7"/>
      <c r="AJ92" s="7"/>
      <c r="AK92" s="7"/>
      <c r="AM92" s="7"/>
      <c r="AN92" s="7">
        <v>3</v>
      </c>
      <c r="AO92" s="9" t="s">
        <v>2</v>
      </c>
      <c r="AP92" s="9" t="s">
        <v>96</v>
      </c>
      <c r="AQ92" s="7"/>
      <c r="AR92" s="7"/>
      <c r="AT92" s="7"/>
      <c r="AU92" s="7">
        <v>3</v>
      </c>
      <c r="AV92" s="9" t="s">
        <v>143</v>
      </c>
      <c r="AW92" s="9" t="s">
        <v>77</v>
      </c>
      <c r="AX92" s="7"/>
      <c r="AY92" s="7"/>
      <c r="BA92" s="7" t="s">
        <v>274</v>
      </c>
      <c r="BB92" s="7">
        <v>3</v>
      </c>
      <c r="BC92" s="9" t="s">
        <v>66</v>
      </c>
      <c r="BD92" s="9" t="s">
        <v>96</v>
      </c>
      <c r="BE92" s="7"/>
      <c r="BF92" s="9"/>
      <c r="BH92" s="7" t="s">
        <v>310</v>
      </c>
      <c r="BI92" s="7">
        <v>3</v>
      </c>
      <c r="BJ92" s="9" t="s">
        <v>66</v>
      </c>
      <c r="BK92" s="9" t="s">
        <v>147</v>
      </c>
      <c r="BL92" s="7"/>
      <c r="BM92" s="7"/>
      <c r="BN92" s="7"/>
      <c r="BO92" s="7"/>
      <c r="BQ92" s="7" t="s">
        <v>802</v>
      </c>
      <c r="BR92" s="7">
        <v>3</v>
      </c>
      <c r="BS92" s="9" t="s">
        <v>147</v>
      </c>
      <c r="BT92" s="9" t="s">
        <v>84</v>
      </c>
      <c r="BU92" s="7"/>
      <c r="BV92" s="7"/>
      <c r="BX92" s="7" t="s">
        <v>200</v>
      </c>
      <c r="BY92" s="7">
        <v>3</v>
      </c>
      <c r="BZ92" s="9" t="s">
        <v>147</v>
      </c>
      <c r="CA92" s="9" t="s">
        <v>17</v>
      </c>
      <c r="CB92" s="7"/>
      <c r="CC92" s="7"/>
      <c r="CD92" s="7"/>
      <c r="CE92" s="7"/>
      <c r="CF92" s="7"/>
      <c r="CH92" s="7"/>
      <c r="CI92" s="7">
        <v>3</v>
      </c>
      <c r="CJ92" s="9"/>
      <c r="CK92" s="9"/>
      <c r="CL92" s="7"/>
      <c r="CM92" s="7"/>
      <c r="CO92" s="38"/>
      <c r="CP92" s="38">
        <v>3</v>
      </c>
      <c r="CQ92" s="41"/>
      <c r="CR92" s="70"/>
      <c r="CS92" s="41"/>
      <c r="CT92" s="41"/>
    </row>
    <row r="93" spans="1:98">
      <c r="A93" s="7"/>
      <c r="B93" s="7"/>
      <c r="C93" s="9">
        <v>1</v>
      </c>
      <c r="D93" s="9">
        <v>0</v>
      </c>
      <c r="E93" s="9"/>
      <c r="F93" s="7"/>
      <c r="G93" s="7"/>
      <c r="H93" s="7"/>
      <c r="I93" s="7"/>
      <c r="J93" s="7"/>
      <c r="L93" s="7"/>
      <c r="M93" s="7"/>
      <c r="N93" s="9">
        <v>2</v>
      </c>
      <c r="O93" s="9">
        <v>0</v>
      </c>
      <c r="P93" s="9"/>
      <c r="Q93" s="7"/>
      <c r="R93" s="7"/>
      <c r="S93" s="7"/>
      <c r="U93" s="7"/>
      <c r="V93" s="7"/>
      <c r="W93" s="9">
        <v>2</v>
      </c>
      <c r="X93" s="9">
        <v>0</v>
      </c>
      <c r="Y93" s="9"/>
      <c r="Z93" s="9"/>
      <c r="AA93" s="9"/>
      <c r="AB93" s="7"/>
      <c r="AD93" s="7"/>
      <c r="AE93" s="7"/>
      <c r="AF93" s="9">
        <v>0</v>
      </c>
      <c r="AG93" s="9">
        <v>1</v>
      </c>
      <c r="AH93" s="9"/>
      <c r="AI93" s="7"/>
      <c r="AJ93" s="7"/>
      <c r="AK93" s="7"/>
      <c r="AM93" s="7"/>
      <c r="AN93" s="7"/>
      <c r="AO93" s="9">
        <v>0</v>
      </c>
      <c r="AP93" s="9">
        <v>2</v>
      </c>
      <c r="AQ93" s="9"/>
      <c r="AR93" s="7"/>
      <c r="AT93" s="7"/>
      <c r="AU93" s="7"/>
      <c r="AV93" s="9">
        <v>1</v>
      </c>
      <c r="AW93" s="9">
        <v>0</v>
      </c>
      <c r="AX93" s="9"/>
      <c r="AY93" s="7"/>
      <c r="BA93" s="7"/>
      <c r="BB93" s="7"/>
      <c r="BC93" s="9">
        <v>0</v>
      </c>
      <c r="BD93" s="9">
        <v>3</v>
      </c>
      <c r="BE93" s="9"/>
      <c r="BF93" s="9"/>
      <c r="BH93" s="7" t="s">
        <v>729</v>
      </c>
      <c r="BI93" s="7"/>
      <c r="BJ93" s="9">
        <v>-2</v>
      </c>
      <c r="BK93" s="9">
        <v>2</v>
      </c>
      <c r="BL93" s="9"/>
      <c r="BM93" s="9"/>
      <c r="BN93" s="9"/>
      <c r="BO93" s="7"/>
      <c r="BQ93" s="7" t="s">
        <v>803</v>
      </c>
      <c r="BR93" s="7"/>
      <c r="BS93" s="9">
        <v>1</v>
      </c>
      <c r="BT93" s="9">
        <v>0</v>
      </c>
      <c r="BU93" s="9"/>
      <c r="BV93" s="7"/>
      <c r="BX93" s="7" t="s">
        <v>266</v>
      </c>
      <c r="BY93" s="7"/>
      <c r="BZ93" s="9">
        <v>1</v>
      </c>
      <c r="CA93" s="9">
        <v>0</v>
      </c>
      <c r="CB93" s="9"/>
      <c r="CC93" s="7"/>
      <c r="CD93" s="7"/>
      <c r="CE93" s="7"/>
      <c r="CF93" s="7"/>
      <c r="CH93" s="7"/>
      <c r="CI93" s="7"/>
      <c r="CJ93" s="9"/>
      <c r="CK93" s="9"/>
      <c r="CL93" s="9"/>
      <c r="CM93" s="7"/>
      <c r="CO93" s="38"/>
      <c r="CP93" s="38"/>
      <c r="CQ93" s="41"/>
      <c r="CR93" s="41"/>
      <c r="CS93" s="41"/>
      <c r="CT93" s="41"/>
    </row>
    <row r="94" spans="1:98">
      <c r="A94" s="7" t="s">
        <v>200</v>
      </c>
      <c r="B94" s="7">
        <v>4</v>
      </c>
      <c r="C94" s="9" t="s">
        <v>567</v>
      </c>
      <c r="D94" s="9" t="s">
        <v>2</v>
      </c>
      <c r="E94" s="9"/>
      <c r="F94" s="7"/>
      <c r="G94" s="7"/>
      <c r="H94" s="7"/>
      <c r="I94" s="7"/>
      <c r="J94" s="7"/>
      <c r="L94" s="7" t="s">
        <v>158</v>
      </c>
      <c r="M94" s="7">
        <v>4</v>
      </c>
      <c r="N94" s="9" t="s">
        <v>82</v>
      </c>
      <c r="O94" s="9" t="s">
        <v>569</v>
      </c>
      <c r="P94" s="9"/>
      <c r="Q94" s="7"/>
      <c r="R94" s="7"/>
      <c r="S94" s="7"/>
      <c r="U94" s="7" t="s">
        <v>829</v>
      </c>
      <c r="V94" s="7">
        <v>4</v>
      </c>
      <c r="W94" s="9" t="s">
        <v>37</v>
      </c>
      <c r="X94" s="9" t="s">
        <v>723</v>
      </c>
      <c r="Y94" s="9"/>
      <c r="Z94" s="9"/>
      <c r="AA94" s="9"/>
      <c r="AB94" s="7"/>
      <c r="AD94" s="7" t="s">
        <v>220</v>
      </c>
      <c r="AE94" s="7">
        <v>4</v>
      </c>
      <c r="AF94" s="9" t="s">
        <v>82</v>
      </c>
      <c r="AG94" s="9" t="s">
        <v>77</v>
      </c>
      <c r="AH94" s="9" t="s">
        <v>96</v>
      </c>
      <c r="AI94" s="7"/>
      <c r="AJ94" s="7"/>
      <c r="AK94" s="7"/>
      <c r="AM94" s="7"/>
      <c r="AN94" s="7">
        <v>4</v>
      </c>
      <c r="AO94" s="9" t="s">
        <v>64</v>
      </c>
      <c r="AP94" s="9" t="s">
        <v>567</v>
      </c>
      <c r="AQ94" s="9"/>
      <c r="AR94" s="7"/>
      <c r="AT94" s="7" t="s">
        <v>157</v>
      </c>
      <c r="AU94" s="7">
        <v>4</v>
      </c>
      <c r="AV94" s="9" t="s">
        <v>166</v>
      </c>
      <c r="AW94" s="9" t="s">
        <v>542</v>
      </c>
      <c r="AX94" s="9"/>
      <c r="AY94" s="7"/>
      <c r="BA94" s="7" t="s">
        <v>276</v>
      </c>
      <c r="BB94" s="7">
        <v>4</v>
      </c>
      <c r="BC94" s="9" t="s">
        <v>24</v>
      </c>
      <c r="BD94" s="9" t="s">
        <v>142</v>
      </c>
      <c r="BE94" s="9"/>
      <c r="BF94" s="9"/>
      <c r="BH94" s="7" t="s">
        <v>307</v>
      </c>
      <c r="BI94" s="7">
        <v>4</v>
      </c>
      <c r="BJ94" s="9" t="s">
        <v>577</v>
      </c>
      <c r="BK94" s="9" t="s">
        <v>77</v>
      </c>
      <c r="BL94" s="9"/>
      <c r="BM94" s="9"/>
      <c r="BN94" s="9"/>
      <c r="BO94" s="7"/>
      <c r="BQ94" s="7"/>
      <c r="BR94" s="7">
        <v>4</v>
      </c>
      <c r="BS94" s="9" t="s">
        <v>549</v>
      </c>
      <c r="BT94" s="9" t="s">
        <v>77</v>
      </c>
      <c r="BU94" s="9"/>
      <c r="BV94" s="7"/>
      <c r="BX94" s="7" t="s">
        <v>805</v>
      </c>
      <c r="BY94" s="7">
        <v>4</v>
      </c>
      <c r="BZ94" s="9" t="s">
        <v>143</v>
      </c>
      <c r="CA94" s="9" t="s">
        <v>84</v>
      </c>
      <c r="CB94" s="9"/>
      <c r="CC94" s="7"/>
      <c r="CD94" s="7"/>
      <c r="CE94" s="7"/>
      <c r="CF94" s="7"/>
      <c r="CH94" s="7"/>
      <c r="CI94" s="7">
        <v>4</v>
      </c>
      <c r="CJ94" s="9"/>
      <c r="CK94" s="9"/>
      <c r="CL94" s="9"/>
      <c r="CM94" s="7"/>
      <c r="CO94" s="38"/>
      <c r="CP94" s="38">
        <v>4</v>
      </c>
      <c r="CQ94" s="41"/>
      <c r="CR94" s="41"/>
      <c r="CS94" s="41"/>
      <c r="CT94" s="38"/>
    </row>
    <row r="95" spans="1:98">
      <c r="A95" s="7" t="s">
        <v>729</v>
      </c>
      <c r="B95" s="7"/>
      <c r="C95" s="9">
        <v>2</v>
      </c>
      <c r="D95" s="9">
        <v>-2</v>
      </c>
      <c r="E95" s="9"/>
      <c r="F95" s="7"/>
      <c r="G95" s="7"/>
      <c r="H95" s="7"/>
      <c r="I95" s="7"/>
      <c r="J95" s="7"/>
      <c r="L95" s="7"/>
      <c r="M95" s="7"/>
      <c r="N95" s="9">
        <v>0</v>
      </c>
      <c r="O95" s="9">
        <v>2</v>
      </c>
      <c r="P95" s="9"/>
      <c r="Q95" s="7"/>
      <c r="R95" s="7"/>
      <c r="S95" s="7"/>
      <c r="U95" s="7"/>
      <c r="V95" s="7"/>
      <c r="W95" s="9">
        <v>0</v>
      </c>
      <c r="X95" s="9">
        <v>2</v>
      </c>
      <c r="Y95" s="9"/>
      <c r="Z95" s="9"/>
      <c r="AA95" s="9"/>
      <c r="AB95" s="7"/>
      <c r="AD95" s="7"/>
      <c r="AE95" s="7"/>
      <c r="AF95" s="9">
        <v>0</v>
      </c>
      <c r="AG95" s="9">
        <v>0</v>
      </c>
      <c r="AH95" s="9">
        <v>1</v>
      </c>
      <c r="AI95" s="7"/>
      <c r="AJ95" s="7"/>
      <c r="AK95" s="7"/>
      <c r="AM95" s="7"/>
      <c r="AN95" s="7"/>
      <c r="AO95" s="9">
        <v>0</v>
      </c>
      <c r="AP95" s="9">
        <v>2</v>
      </c>
      <c r="AQ95" s="9"/>
      <c r="AR95" s="7"/>
      <c r="AT95" s="7"/>
      <c r="AU95" s="7"/>
      <c r="AV95" s="9">
        <v>2</v>
      </c>
      <c r="AW95" s="9">
        <v>0</v>
      </c>
      <c r="AX95" s="9"/>
      <c r="AY95" s="7"/>
      <c r="BA95" s="7"/>
      <c r="BB95" s="7"/>
      <c r="BC95" s="9">
        <v>0</v>
      </c>
      <c r="BD95" s="9">
        <v>2</v>
      </c>
      <c r="BE95" s="9"/>
      <c r="BF95" s="9"/>
      <c r="BH95" s="7"/>
      <c r="BI95" s="7"/>
      <c r="BJ95" s="9">
        <v>1</v>
      </c>
      <c r="BK95" s="9">
        <v>0</v>
      </c>
      <c r="BL95" s="9"/>
      <c r="BM95" s="9"/>
      <c r="BN95" s="9"/>
      <c r="BO95" s="7"/>
      <c r="BQ95" s="7"/>
      <c r="BR95" s="7"/>
      <c r="BS95" s="9">
        <v>3</v>
      </c>
      <c r="BT95" s="9">
        <v>0</v>
      </c>
      <c r="BU95" s="9"/>
      <c r="BV95" s="7"/>
      <c r="BX95" s="7"/>
      <c r="BY95" s="7"/>
      <c r="BZ95" s="9">
        <v>2</v>
      </c>
      <c r="CA95" s="9">
        <v>0</v>
      </c>
      <c r="CB95" s="9"/>
      <c r="CC95" s="7"/>
      <c r="CD95" s="7"/>
      <c r="CE95" s="7"/>
      <c r="CF95" s="7"/>
      <c r="CH95" s="7"/>
      <c r="CI95" s="7"/>
      <c r="CJ95" s="9"/>
      <c r="CK95" s="9"/>
      <c r="CL95" s="9"/>
      <c r="CM95" s="7"/>
      <c r="CO95" s="38"/>
      <c r="CP95" s="38"/>
      <c r="CQ95" s="41"/>
      <c r="CR95" s="41"/>
      <c r="CS95" s="41"/>
      <c r="CT95" s="38"/>
    </row>
    <row r="96" spans="1:98">
      <c r="A96" s="7"/>
      <c r="B96" s="7">
        <v>5</v>
      </c>
      <c r="C96" s="9" t="s">
        <v>143</v>
      </c>
      <c r="D96" s="9" t="s">
        <v>41</v>
      </c>
      <c r="E96" s="9"/>
      <c r="F96" s="7"/>
      <c r="G96" s="7"/>
      <c r="H96" s="7"/>
      <c r="I96" s="7"/>
      <c r="J96" s="7"/>
      <c r="L96" s="7" t="s">
        <v>223</v>
      </c>
      <c r="M96" s="7">
        <v>5</v>
      </c>
      <c r="N96" s="9" t="s">
        <v>118</v>
      </c>
      <c r="O96" s="9" t="s">
        <v>721</v>
      </c>
      <c r="P96" s="9"/>
      <c r="Q96" s="7"/>
      <c r="R96" s="7"/>
      <c r="S96" s="7"/>
      <c r="U96" s="7" t="s">
        <v>829</v>
      </c>
      <c r="V96" s="7">
        <v>5</v>
      </c>
      <c r="W96" s="9" t="s">
        <v>39</v>
      </c>
      <c r="X96" s="9" t="s">
        <v>112</v>
      </c>
      <c r="Y96" s="9"/>
      <c r="Z96" s="9"/>
      <c r="AA96" s="9"/>
      <c r="AB96" s="7"/>
      <c r="AD96" s="7" t="s">
        <v>200</v>
      </c>
      <c r="AE96" s="7">
        <v>5</v>
      </c>
      <c r="AF96" s="9" t="s">
        <v>62</v>
      </c>
      <c r="AG96" s="9" t="s">
        <v>88</v>
      </c>
      <c r="AH96" s="9" t="s">
        <v>41</v>
      </c>
      <c r="AI96" s="7"/>
      <c r="AJ96" s="7"/>
      <c r="AK96" s="7"/>
      <c r="AM96" s="7" t="s">
        <v>135</v>
      </c>
      <c r="AN96" s="7">
        <v>5</v>
      </c>
      <c r="AO96" s="9" t="s">
        <v>588</v>
      </c>
      <c r="AP96" s="9" t="s">
        <v>721</v>
      </c>
      <c r="AQ96" s="9"/>
      <c r="AR96" s="7"/>
      <c r="AT96" s="7" t="s">
        <v>223</v>
      </c>
      <c r="AU96" s="7">
        <v>5</v>
      </c>
      <c r="AV96" s="9" t="s">
        <v>123</v>
      </c>
      <c r="AW96" s="9" t="s">
        <v>532</v>
      </c>
      <c r="AX96" s="9"/>
      <c r="AY96" s="7"/>
      <c r="BA96" s="7" t="s">
        <v>644</v>
      </c>
      <c r="BB96" s="7">
        <v>5</v>
      </c>
      <c r="BC96" s="9" t="s">
        <v>123</v>
      </c>
      <c r="BD96" s="9" t="s">
        <v>532</v>
      </c>
      <c r="BE96" s="9"/>
      <c r="BF96" s="9"/>
      <c r="BH96" s="7" t="s">
        <v>309</v>
      </c>
      <c r="BI96" s="7">
        <v>5</v>
      </c>
      <c r="BJ96" s="9" t="s">
        <v>532</v>
      </c>
      <c r="BK96" s="9" t="s">
        <v>142</v>
      </c>
      <c r="BL96" s="9"/>
      <c r="BM96" s="9"/>
      <c r="BN96" s="9"/>
      <c r="BO96" s="7"/>
      <c r="BQ96" s="7" t="s">
        <v>223</v>
      </c>
      <c r="BR96" s="7">
        <v>5</v>
      </c>
      <c r="BS96" s="9" t="s">
        <v>143</v>
      </c>
      <c r="BT96" s="9" t="s">
        <v>46</v>
      </c>
      <c r="BU96" s="9"/>
      <c r="BV96" s="7"/>
      <c r="BX96" s="7" t="s">
        <v>805</v>
      </c>
      <c r="BY96" s="7">
        <v>5</v>
      </c>
      <c r="BZ96" s="9" t="s">
        <v>123</v>
      </c>
      <c r="CA96" s="9" t="s">
        <v>532</v>
      </c>
      <c r="CB96" s="9"/>
      <c r="CC96" s="7"/>
      <c r="CD96" s="7"/>
      <c r="CE96" s="7"/>
      <c r="CF96" s="7"/>
      <c r="CH96" s="7"/>
      <c r="CI96" s="7">
        <v>5</v>
      </c>
      <c r="CJ96" s="9"/>
      <c r="CK96" s="9"/>
      <c r="CL96" s="9"/>
      <c r="CM96" s="7"/>
      <c r="CO96" s="38"/>
      <c r="CP96" s="38">
        <v>5</v>
      </c>
      <c r="CQ96" s="41"/>
      <c r="CR96" s="41"/>
      <c r="CS96" s="41"/>
      <c r="CT96" s="38"/>
    </row>
    <row r="97" spans="1:98">
      <c r="A97" s="7"/>
      <c r="B97" s="7"/>
      <c r="C97" s="9">
        <v>2</v>
      </c>
      <c r="D97" s="9">
        <v>0</v>
      </c>
      <c r="E97" s="9"/>
      <c r="F97" s="7"/>
      <c r="G97" s="7"/>
      <c r="H97" s="7"/>
      <c r="I97" s="7"/>
      <c r="J97" s="7"/>
      <c r="L97" s="7"/>
      <c r="M97" s="7"/>
      <c r="N97" s="9">
        <v>3</v>
      </c>
      <c r="O97" s="9">
        <v>0</v>
      </c>
      <c r="P97" s="9"/>
      <c r="Q97" s="7"/>
      <c r="R97" s="7"/>
      <c r="S97" s="7"/>
      <c r="U97" s="7"/>
      <c r="V97" s="7"/>
      <c r="W97" s="9">
        <v>0</v>
      </c>
      <c r="X97" s="9">
        <v>2</v>
      </c>
      <c r="Y97" s="9"/>
      <c r="Z97" s="9"/>
      <c r="AA97" s="9"/>
      <c r="AB97" s="7"/>
      <c r="AD97" s="7" t="s">
        <v>729</v>
      </c>
      <c r="AE97" s="7"/>
      <c r="AF97" s="9">
        <v>-3</v>
      </c>
      <c r="AG97" s="9">
        <v>3</v>
      </c>
      <c r="AH97" s="9">
        <v>0</v>
      </c>
      <c r="AI97" s="7"/>
      <c r="AJ97" s="7"/>
      <c r="AK97" s="7"/>
      <c r="AM97" s="7"/>
      <c r="AN97" s="7"/>
      <c r="AO97" s="9">
        <v>2</v>
      </c>
      <c r="AP97" s="9">
        <v>0</v>
      </c>
      <c r="AQ97" s="9"/>
      <c r="AR97" s="7"/>
      <c r="AT97" s="7"/>
      <c r="AU97" s="7"/>
      <c r="AV97" s="9">
        <v>1</v>
      </c>
      <c r="AW97" s="9">
        <v>0</v>
      </c>
      <c r="AX97" s="9"/>
      <c r="AY97" s="7"/>
      <c r="BA97" s="7"/>
      <c r="BB97" s="7"/>
      <c r="BC97" s="9">
        <v>2</v>
      </c>
      <c r="BD97" s="9">
        <v>0</v>
      </c>
      <c r="BE97" s="9"/>
      <c r="BF97" s="9"/>
      <c r="BH97" s="7"/>
      <c r="BI97" s="7"/>
      <c r="BJ97" s="9">
        <v>0</v>
      </c>
      <c r="BK97" s="9">
        <v>2</v>
      </c>
      <c r="BL97" s="9"/>
      <c r="BM97" s="9"/>
      <c r="BN97" s="9"/>
      <c r="BO97" s="7"/>
      <c r="BQ97" s="7"/>
      <c r="BR97" s="7"/>
      <c r="BS97" s="9">
        <v>2</v>
      </c>
      <c r="BT97" s="9">
        <v>0</v>
      </c>
      <c r="BU97" s="9"/>
      <c r="BV97" s="7"/>
      <c r="BX97" s="7"/>
      <c r="BY97" s="7"/>
      <c r="BZ97" s="9">
        <v>2</v>
      </c>
      <c r="CA97" s="9">
        <v>0</v>
      </c>
      <c r="CB97" s="9"/>
      <c r="CC97" s="7"/>
      <c r="CD97" s="7"/>
      <c r="CE97" s="7"/>
      <c r="CF97" s="7"/>
      <c r="CH97" s="7"/>
      <c r="CI97" s="7"/>
      <c r="CJ97" s="9"/>
      <c r="CK97" s="9"/>
      <c r="CL97" s="9"/>
      <c r="CM97" s="7"/>
      <c r="CO97" s="38"/>
      <c r="CP97" s="38"/>
      <c r="CQ97" s="41"/>
      <c r="CR97" s="41"/>
      <c r="CS97" s="41"/>
      <c r="CT97" s="38"/>
    </row>
    <row r="98" spans="1:98">
      <c r="CO98" s="32"/>
      <c r="CP98" s="32"/>
      <c r="CQ98" s="32"/>
      <c r="CR98" s="32"/>
      <c r="CS98" s="32"/>
      <c r="CT98" s="32"/>
    </row>
    <row r="99" spans="1:98" ht="21">
      <c r="A99" s="90"/>
      <c r="B99" s="91" t="s">
        <v>429</v>
      </c>
      <c r="C99" s="128" t="s">
        <v>457</v>
      </c>
      <c r="D99" s="92"/>
      <c r="E99" s="90"/>
      <c r="F99" s="90"/>
      <c r="G99" s="90"/>
      <c r="H99" s="90"/>
      <c r="I99" s="90"/>
      <c r="J99" s="90"/>
      <c r="L99" s="90"/>
      <c r="M99" s="91" t="s">
        <v>429</v>
      </c>
      <c r="N99" s="128" t="s">
        <v>253</v>
      </c>
      <c r="O99" s="92"/>
      <c r="P99" s="90"/>
      <c r="Q99" s="90"/>
      <c r="R99" s="90"/>
      <c r="S99" s="90"/>
      <c r="U99" s="90"/>
      <c r="V99" s="91" t="s">
        <v>429</v>
      </c>
      <c r="W99" s="128" t="s">
        <v>879</v>
      </c>
      <c r="X99" s="92"/>
      <c r="Y99" s="90"/>
      <c r="Z99" s="90"/>
      <c r="AA99" s="90"/>
      <c r="AB99" s="90"/>
      <c r="AD99" s="90"/>
      <c r="AE99" s="91" t="s">
        <v>429</v>
      </c>
      <c r="AF99" s="128" t="s">
        <v>212</v>
      </c>
      <c r="AG99" s="92"/>
      <c r="AH99" s="90"/>
      <c r="AI99" s="90"/>
      <c r="AJ99" s="90"/>
      <c r="AK99" s="90"/>
      <c r="AM99" s="90"/>
      <c r="AN99" s="91" t="s">
        <v>429</v>
      </c>
      <c r="AO99" s="128" t="s">
        <v>235</v>
      </c>
      <c r="AP99" s="92"/>
      <c r="AQ99" s="90"/>
      <c r="AR99" s="90"/>
      <c r="AT99" s="90"/>
      <c r="AU99" s="91" t="s">
        <v>429</v>
      </c>
      <c r="AV99" s="128" t="s">
        <v>477</v>
      </c>
      <c r="AW99" s="92"/>
      <c r="AX99" s="90"/>
      <c r="AY99" s="90"/>
      <c r="BA99" s="90"/>
      <c r="BB99" s="91" t="s">
        <v>429</v>
      </c>
      <c r="BC99" s="128" t="s">
        <v>485</v>
      </c>
      <c r="BD99" s="92"/>
      <c r="BE99" s="90"/>
      <c r="BF99" s="92"/>
      <c r="BH99" s="90"/>
      <c r="BI99" s="91" t="s">
        <v>429</v>
      </c>
      <c r="BJ99" s="128" t="s">
        <v>490</v>
      </c>
      <c r="BK99" s="92"/>
      <c r="BL99" s="90"/>
      <c r="BM99" s="90"/>
      <c r="BN99" s="90"/>
      <c r="BO99" s="90"/>
      <c r="BQ99" s="90"/>
      <c r="BR99" s="91" t="s">
        <v>429</v>
      </c>
      <c r="BS99" s="128" t="s">
        <v>497</v>
      </c>
      <c r="BT99" s="92"/>
      <c r="BU99" s="90"/>
      <c r="BV99" s="90"/>
      <c r="BX99" s="90"/>
      <c r="BY99" s="91" t="s">
        <v>429</v>
      </c>
      <c r="BZ99" s="128" t="s">
        <v>505</v>
      </c>
      <c r="CA99" s="92"/>
      <c r="CB99" s="90"/>
      <c r="CC99" s="90"/>
      <c r="CD99" s="90"/>
      <c r="CE99" s="90"/>
      <c r="CF99" s="90"/>
      <c r="CH99" s="90"/>
      <c r="CI99" s="91" t="s">
        <v>429</v>
      </c>
      <c r="CJ99" s="128" t="s">
        <v>239</v>
      </c>
      <c r="CK99" s="92"/>
      <c r="CL99" s="90"/>
      <c r="CM99" s="90"/>
      <c r="CO99" s="93"/>
      <c r="CP99" s="94" t="s">
        <v>429</v>
      </c>
      <c r="CQ99" s="133" t="s">
        <v>811</v>
      </c>
      <c r="CR99" s="96"/>
      <c r="CS99" s="93"/>
      <c r="CT99" s="93"/>
    </row>
    <row r="100" spans="1:98">
      <c r="A100" s="90"/>
      <c r="B100" s="90">
        <v>1</v>
      </c>
      <c r="C100" s="92" t="s">
        <v>110</v>
      </c>
      <c r="D100" s="92" t="s">
        <v>44</v>
      </c>
      <c r="E100" s="92"/>
      <c r="F100" s="90"/>
      <c r="G100" s="90"/>
      <c r="H100" s="90"/>
      <c r="I100" s="90"/>
      <c r="J100" s="90"/>
      <c r="L100" s="90"/>
      <c r="M100" s="90">
        <v>1</v>
      </c>
      <c r="N100" s="92" t="s">
        <v>138</v>
      </c>
      <c r="O100" s="92" t="s">
        <v>5</v>
      </c>
      <c r="P100" s="92"/>
      <c r="Q100" s="90"/>
      <c r="R100" s="90"/>
      <c r="S100" s="90"/>
      <c r="U100" s="90"/>
      <c r="V100" s="90">
        <v>1</v>
      </c>
      <c r="W100" s="92" t="s">
        <v>290</v>
      </c>
      <c r="X100" s="92" t="s">
        <v>587</v>
      </c>
      <c r="Y100" s="92"/>
      <c r="Z100" s="92"/>
      <c r="AA100" s="92"/>
      <c r="AB100" s="90"/>
      <c r="AD100" s="90"/>
      <c r="AE100" s="90">
        <v>1</v>
      </c>
      <c r="AF100" s="92" t="s">
        <v>574</v>
      </c>
      <c r="AG100" s="92" t="s">
        <v>18</v>
      </c>
      <c r="AH100" s="92"/>
      <c r="AI100" s="90"/>
      <c r="AJ100" s="90"/>
      <c r="AK100" s="90"/>
      <c r="AM100" s="90"/>
      <c r="AN100" s="90">
        <v>1</v>
      </c>
      <c r="AO100" s="92" t="s">
        <v>550</v>
      </c>
      <c r="AP100" s="92" t="s">
        <v>18</v>
      </c>
      <c r="AQ100" s="92"/>
      <c r="AR100" s="90"/>
      <c r="AT100" s="90"/>
      <c r="AU100" s="90">
        <v>1</v>
      </c>
      <c r="AV100" s="92" t="s">
        <v>580</v>
      </c>
      <c r="AW100" s="92" t="s">
        <v>44</v>
      </c>
      <c r="AX100" s="92"/>
      <c r="AY100" s="90"/>
      <c r="BA100" s="90"/>
      <c r="BB100" s="90">
        <v>1</v>
      </c>
      <c r="BC100" s="92" t="s">
        <v>584</v>
      </c>
      <c r="BD100" s="92" t="s">
        <v>21</v>
      </c>
      <c r="BE100" s="92"/>
      <c r="BF100" s="92"/>
      <c r="BH100" s="90"/>
      <c r="BI100" s="90">
        <v>1</v>
      </c>
      <c r="BJ100" s="92" t="s">
        <v>584</v>
      </c>
      <c r="BK100" s="92" t="s">
        <v>43</v>
      </c>
      <c r="BL100" s="92"/>
      <c r="BM100" s="92"/>
      <c r="BN100" s="92"/>
      <c r="BO100" s="90"/>
      <c r="BQ100" s="90"/>
      <c r="BR100" s="90">
        <v>1</v>
      </c>
      <c r="BS100" s="92" t="s">
        <v>551</v>
      </c>
      <c r="BT100" s="92" t="s">
        <v>36</v>
      </c>
      <c r="BU100" s="92"/>
      <c r="BV100" s="90"/>
      <c r="BX100" s="90"/>
      <c r="BY100" s="90">
        <v>1</v>
      </c>
      <c r="BZ100" s="92" t="s">
        <v>894</v>
      </c>
      <c r="CA100" s="92" t="s">
        <v>21</v>
      </c>
      <c r="CB100" s="92"/>
      <c r="CC100" s="90"/>
      <c r="CD100" s="90"/>
      <c r="CE100" s="90"/>
      <c r="CF100" s="90"/>
      <c r="CH100" s="90"/>
      <c r="CI100" s="90">
        <v>1</v>
      </c>
      <c r="CJ100" s="92"/>
      <c r="CK100" s="92"/>
      <c r="CL100" s="92"/>
      <c r="CM100" s="90"/>
      <c r="CO100" s="93"/>
      <c r="CP100" s="93">
        <v>1</v>
      </c>
      <c r="CQ100" s="96"/>
      <c r="CR100" s="96"/>
      <c r="CS100" s="96"/>
      <c r="CT100" s="93"/>
    </row>
    <row r="101" spans="1:98">
      <c r="A101" s="90"/>
      <c r="B101" s="90"/>
      <c r="C101" s="92">
        <v>2</v>
      </c>
      <c r="D101" s="92">
        <v>0</v>
      </c>
      <c r="E101" s="92"/>
      <c r="F101" s="90"/>
      <c r="G101" s="90"/>
      <c r="H101" s="90"/>
      <c r="I101" s="90"/>
      <c r="J101" s="90"/>
      <c r="L101" s="90"/>
      <c r="M101" s="90"/>
      <c r="N101" s="92">
        <v>2</v>
      </c>
      <c r="O101" s="92">
        <v>0</v>
      </c>
      <c r="P101" s="92"/>
      <c r="Q101" s="90"/>
      <c r="R101" s="90"/>
      <c r="S101" s="90"/>
      <c r="U101" s="90"/>
      <c r="V101" s="90"/>
      <c r="W101" s="92">
        <v>0</v>
      </c>
      <c r="X101" s="92">
        <v>1</v>
      </c>
      <c r="Y101" s="92"/>
      <c r="Z101" s="92"/>
      <c r="AA101" s="92"/>
      <c r="AB101" s="90"/>
      <c r="AD101" s="90"/>
      <c r="AE101" s="90"/>
      <c r="AF101" s="92">
        <v>3</v>
      </c>
      <c r="AG101" s="92">
        <v>0</v>
      </c>
      <c r="AH101" s="92"/>
      <c r="AI101" s="90"/>
      <c r="AJ101" s="90"/>
      <c r="AK101" s="90"/>
      <c r="AM101" s="90"/>
      <c r="AN101" s="90"/>
      <c r="AO101" s="92">
        <v>2</v>
      </c>
      <c r="AP101" s="92">
        <v>0</v>
      </c>
      <c r="AQ101" s="92"/>
      <c r="AR101" s="90"/>
      <c r="AT101" s="90"/>
      <c r="AU101" s="90"/>
      <c r="AV101" s="92">
        <v>1</v>
      </c>
      <c r="AW101" s="92">
        <v>0</v>
      </c>
      <c r="AX101" s="92"/>
      <c r="AY101" s="90"/>
      <c r="BA101" s="90"/>
      <c r="BB101" s="90"/>
      <c r="BC101" s="92">
        <v>2</v>
      </c>
      <c r="BD101" s="92">
        <v>0</v>
      </c>
      <c r="BE101" s="92"/>
      <c r="BF101" s="92"/>
      <c r="BH101" s="90"/>
      <c r="BI101" s="90"/>
      <c r="BJ101" s="92">
        <v>2</v>
      </c>
      <c r="BK101" s="92">
        <v>0</v>
      </c>
      <c r="BL101" s="92"/>
      <c r="BM101" s="92"/>
      <c r="BN101" s="92"/>
      <c r="BO101" s="90"/>
      <c r="BQ101" s="90"/>
      <c r="BR101" s="90"/>
      <c r="BS101" s="92">
        <v>2</v>
      </c>
      <c r="BT101" s="92">
        <v>0</v>
      </c>
      <c r="BU101" s="92"/>
      <c r="BV101" s="90"/>
      <c r="BX101" s="90"/>
      <c r="BY101" s="90"/>
      <c r="BZ101" s="92">
        <v>2</v>
      </c>
      <c r="CA101" s="92">
        <v>0</v>
      </c>
      <c r="CB101" s="92"/>
      <c r="CC101" s="90"/>
      <c r="CD101" s="90"/>
      <c r="CE101" s="90"/>
      <c r="CF101" s="90"/>
      <c r="CH101" s="90"/>
      <c r="CI101" s="90"/>
      <c r="CJ101" s="92"/>
      <c r="CK101" s="92"/>
      <c r="CL101" s="92"/>
      <c r="CM101" s="90"/>
      <c r="CO101" s="93"/>
      <c r="CP101" s="93"/>
      <c r="CQ101" s="96"/>
      <c r="CR101" s="96"/>
      <c r="CS101" s="96"/>
      <c r="CT101" s="93"/>
    </row>
    <row r="102" spans="1:98">
      <c r="A102" s="90"/>
      <c r="B102" s="90">
        <v>2</v>
      </c>
      <c r="C102" s="92" t="s">
        <v>533</v>
      </c>
      <c r="D102" s="92" t="s">
        <v>72</v>
      </c>
      <c r="E102" s="92"/>
      <c r="F102" s="90"/>
      <c r="G102" s="90"/>
      <c r="H102" s="90"/>
      <c r="I102" s="90"/>
      <c r="J102" s="90"/>
      <c r="L102" s="90"/>
      <c r="M102" s="90">
        <v>2</v>
      </c>
      <c r="N102" s="92" t="s">
        <v>722</v>
      </c>
      <c r="O102" s="92" t="s">
        <v>72</v>
      </c>
      <c r="P102" s="92"/>
      <c r="Q102" s="90"/>
      <c r="R102" s="90"/>
      <c r="S102" s="90"/>
      <c r="U102" s="90"/>
      <c r="V102" s="90">
        <v>2</v>
      </c>
      <c r="W102" s="92" t="s">
        <v>151</v>
      </c>
      <c r="X102" s="92" t="s">
        <v>722</v>
      </c>
      <c r="Y102" s="92"/>
      <c r="Z102" s="92"/>
      <c r="AA102" s="92"/>
      <c r="AB102" s="90"/>
      <c r="AD102" s="90"/>
      <c r="AE102" s="90">
        <v>2</v>
      </c>
      <c r="AF102" s="92" t="s">
        <v>21</v>
      </c>
      <c r="AG102" s="92" t="s">
        <v>151</v>
      </c>
      <c r="AH102" s="92"/>
      <c r="AI102" s="90"/>
      <c r="AJ102" s="90"/>
      <c r="AK102" s="90"/>
      <c r="AM102" s="90"/>
      <c r="AN102" s="90">
        <v>2</v>
      </c>
      <c r="AO102" s="92" t="s">
        <v>110</v>
      </c>
      <c r="AP102" s="92" t="s">
        <v>6</v>
      </c>
      <c r="AQ102" s="92"/>
      <c r="AR102" s="90"/>
      <c r="AT102" s="90"/>
      <c r="AU102" s="90">
        <v>2</v>
      </c>
      <c r="AV102" s="92" t="s">
        <v>5</v>
      </c>
      <c r="AW102" s="92" t="s">
        <v>111</v>
      </c>
      <c r="AX102" s="92"/>
      <c r="AY102" s="90"/>
      <c r="BA102" s="90"/>
      <c r="BB102" s="90">
        <v>2</v>
      </c>
      <c r="BC102" s="92" t="s">
        <v>71</v>
      </c>
      <c r="BD102" s="92" t="s">
        <v>290</v>
      </c>
      <c r="BE102" s="92"/>
      <c r="BF102" s="92"/>
      <c r="BH102" s="90"/>
      <c r="BI102" s="90">
        <v>2</v>
      </c>
      <c r="BJ102" s="92" t="s">
        <v>550</v>
      </c>
      <c r="BK102" s="92" t="s">
        <v>21</v>
      </c>
      <c r="BL102" s="92"/>
      <c r="BM102" s="92"/>
      <c r="BN102" s="92"/>
      <c r="BO102" s="90"/>
      <c r="BQ102" s="90"/>
      <c r="BR102" s="90">
        <v>2</v>
      </c>
      <c r="BS102" s="92" t="s">
        <v>584</v>
      </c>
      <c r="BT102" s="92" t="s">
        <v>22</v>
      </c>
      <c r="BU102" s="92"/>
      <c r="BV102" s="90"/>
      <c r="BX102" s="90"/>
      <c r="BY102" s="90">
        <v>2</v>
      </c>
      <c r="BZ102" s="92" t="s">
        <v>584</v>
      </c>
      <c r="CA102" s="92" t="s">
        <v>445</v>
      </c>
      <c r="CB102" s="92"/>
      <c r="CC102" s="90"/>
      <c r="CD102" s="90"/>
      <c r="CE102" s="90"/>
      <c r="CF102" s="90"/>
      <c r="CH102" s="90"/>
      <c r="CI102" s="90">
        <v>2</v>
      </c>
      <c r="CJ102" s="92"/>
      <c r="CK102" s="92"/>
      <c r="CL102" s="92"/>
      <c r="CM102" s="90"/>
      <c r="CO102" s="93"/>
      <c r="CP102" s="93">
        <v>2</v>
      </c>
      <c r="CQ102" s="96"/>
      <c r="CR102" s="96"/>
      <c r="CS102" s="96"/>
      <c r="CT102" s="93"/>
    </row>
    <row r="103" spans="1:98">
      <c r="A103" s="90"/>
      <c r="B103" s="90"/>
      <c r="C103" s="92">
        <v>0</v>
      </c>
      <c r="D103" s="92">
        <v>3</v>
      </c>
      <c r="E103" s="92"/>
      <c r="F103" s="90"/>
      <c r="G103" s="90"/>
      <c r="H103" s="90"/>
      <c r="I103" s="90"/>
      <c r="J103" s="90"/>
      <c r="L103" s="90"/>
      <c r="M103" s="90"/>
      <c r="N103" s="92">
        <v>0</v>
      </c>
      <c r="O103" s="92">
        <v>2</v>
      </c>
      <c r="P103" s="92"/>
      <c r="Q103" s="90"/>
      <c r="R103" s="90"/>
      <c r="S103" s="90"/>
      <c r="U103" s="90"/>
      <c r="V103" s="90"/>
      <c r="W103" s="92">
        <v>2</v>
      </c>
      <c r="X103" s="92">
        <v>0</v>
      </c>
      <c r="Y103" s="92"/>
      <c r="Z103" s="92"/>
      <c r="AA103" s="92"/>
      <c r="AB103" s="90"/>
      <c r="AD103" s="90"/>
      <c r="AE103" s="90"/>
      <c r="AF103" s="92">
        <v>0</v>
      </c>
      <c r="AG103" s="92">
        <v>2</v>
      </c>
      <c r="AH103" s="92"/>
      <c r="AI103" s="90"/>
      <c r="AJ103" s="90"/>
      <c r="AK103" s="90"/>
      <c r="AM103" s="90"/>
      <c r="AN103" s="90"/>
      <c r="AO103" s="92">
        <v>2</v>
      </c>
      <c r="AP103" s="92">
        <v>0</v>
      </c>
      <c r="AQ103" s="92"/>
      <c r="AR103" s="90"/>
      <c r="AT103" s="90"/>
      <c r="AU103" s="90"/>
      <c r="AV103" s="92">
        <v>0</v>
      </c>
      <c r="AW103" s="92">
        <v>1</v>
      </c>
      <c r="AX103" s="92"/>
      <c r="AY103" s="90"/>
      <c r="BA103" s="90"/>
      <c r="BB103" s="90"/>
      <c r="BC103" s="92">
        <v>1</v>
      </c>
      <c r="BD103" s="92">
        <v>0</v>
      </c>
      <c r="BE103" s="92"/>
      <c r="BF103" s="92"/>
      <c r="BH103" s="90"/>
      <c r="BI103" s="90"/>
      <c r="BJ103" s="92">
        <v>3</v>
      </c>
      <c r="BK103" s="92">
        <v>0</v>
      </c>
      <c r="BL103" s="92"/>
      <c r="BM103" s="92"/>
      <c r="BN103" s="92"/>
      <c r="BO103" s="90"/>
      <c r="BQ103" s="90"/>
      <c r="BR103" s="90"/>
      <c r="BS103" s="92">
        <v>2</v>
      </c>
      <c r="BT103" s="92">
        <v>0</v>
      </c>
      <c r="BU103" s="92"/>
      <c r="BV103" s="90"/>
      <c r="BX103" s="90"/>
      <c r="BY103" s="90"/>
      <c r="BZ103" s="92">
        <v>3</v>
      </c>
      <c r="CA103" s="92">
        <v>0</v>
      </c>
      <c r="CB103" s="92"/>
      <c r="CC103" s="90"/>
      <c r="CD103" s="90"/>
      <c r="CE103" s="90"/>
      <c r="CF103" s="90"/>
      <c r="CH103" s="90"/>
      <c r="CI103" s="90"/>
      <c r="CJ103" s="92"/>
      <c r="CK103" s="92"/>
      <c r="CL103" s="92"/>
      <c r="CM103" s="90"/>
      <c r="CO103" s="93"/>
      <c r="CP103" s="93"/>
      <c r="CQ103" s="96"/>
      <c r="CR103" s="96"/>
      <c r="CS103" s="96"/>
      <c r="CT103" s="93"/>
    </row>
    <row r="104" spans="1:98">
      <c r="A104" s="90"/>
      <c r="B104" s="90">
        <v>3</v>
      </c>
      <c r="C104" s="92" t="s">
        <v>151</v>
      </c>
      <c r="D104" s="92" t="s">
        <v>6</v>
      </c>
      <c r="E104" s="90"/>
      <c r="F104" s="90"/>
      <c r="G104" s="90"/>
      <c r="H104" s="90"/>
      <c r="I104" s="90"/>
      <c r="J104" s="90"/>
      <c r="L104" s="90"/>
      <c r="M104" s="90">
        <v>3</v>
      </c>
      <c r="N104" s="92" t="s">
        <v>589</v>
      </c>
      <c r="O104" s="92" t="s">
        <v>44</v>
      </c>
      <c r="P104" s="90"/>
      <c r="Q104" s="90"/>
      <c r="R104" s="90"/>
      <c r="S104" s="90"/>
      <c r="U104" s="90"/>
      <c r="V104" s="90">
        <v>3</v>
      </c>
      <c r="W104" s="92" t="s">
        <v>557</v>
      </c>
      <c r="X104" s="92" t="s">
        <v>21</v>
      </c>
      <c r="Y104" s="90"/>
      <c r="Z104" s="90"/>
      <c r="AA104" s="90"/>
      <c r="AB104" s="90"/>
      <c r="AD104" s="90" t="s">
        <v>220</v>
      </c>
      <c r="AE104" s="90">
        <v>3</v>
      </c>
      <c r="AF104" s="92" t="s">
        <v>111</v>
      </c>
      <c r="AG104" s="92" t="s">
        <v>60</v>
      </c>
      <c r="AH104" s="90"/>
      <c r="AI104" s="90"/>
      <c r="AJ104" s="90"/>
      <c r="AK104" s="90"/>
      <c r="AM104" s="90"/>
      <c r="AN104" s="90">
        <v>3</v>
      </c>
      <c r="AO104" s="92" t="s">
        <v>138</v>
      </c>
      <c r="AP104" s="92" t="s">
        <v>290</v>
      </c>
      <c r="AQ104" s="90"/>
      <c r="AR104" s="90"/>
      <c r="AT104" s="90"/>
      <c r="AU104" s="90">
        <v>3</v>
      </c>
      <c r="AV104" s="92" t="s">
        <v>43</v>
      </c>
      <c r="AW104" s="92" t="s">
        <v>195</v>
      </c>
      <c r="AX104" s="90"/>
      <c r="AY104" s="90"/>
      <c r="BA104" s="90" t="s">
        <v>274</v>
      </c>
      <c r="BB104" s="90">
        <v>3</v>
      </c>
      <c r="BC104" s="92" t="s">
        <v>138</v>
      </c>
      <c r="BD104" s="92" t="s">
        <v>721</v>
      </c>
      <c r="BE104" s="90"/>
      <c r="BF104" s="92"/>
      <c r="BH104" s="90"/>
      <c r="BI104" s="90">
        <v>3</v>
      </c>
      <c r="BJ104" s="92" t="s">
        <v>72</v>
      </c>
      <c r="BK104" s="92" t="s">
        <v>290</v>
      </c>
      <c r="BL104" s="90"/>
      <c r="BM104" s="90"/>
      <c r="BN104" s="90"/>
      <c r="BO104" s="90"/>
      <c r="BQ104" s="90"/>
      <c r="BR104" s="90">
        <v>3</v>
      </c>
      <c r="BS104" s="92" t="s">
        <v>723</v>
      </c>
      <c r="BT104" s="92" t="s">
        <v>445</v>
      </c>
      <c r="BU104" s="90"/>
      <c r="BV104" s="90"/>
      <c r="BX104" s="90"/>
      <c r="BY104" s="90">
        <v>3</v>
      </c>
      <c r="BZ104" s="92" t="s">
        <v>551</v>
      </c>
      <c r="CA104" s="92" t="s">
        <v>6</v>
      </c>
      <c r="CB104" s="90"/>
      <c r="CC104" s="90"/>
      <c r="CD104" s="90"/>
      <c r="CE104" s="90"/>
      <c r="CF104" s="90"/>
      <c r="CH104" s="90"/>
      <c r="CI104" s="90">
        <v>3</v>
      </c>
      <c r="CJ104" s="92"/>
      <c r="CK104" s="92"/>
      <c r="CL104" s="90"/>
      <c r="CM104" s="90"/>
      <c r="CO104" s="93"/>
      <c r="CP104" s="93">
        <v>3</v>
      </c>
      <c r="CQ104" s="96"/>
      <c r="CR104" s="96"/>
      <c r="CS104" s="93"/>
      <c r="CT104" s="93"/>
    </row>
    <row r="105" spans="1:98">
      <c r="A105" s="90"/>
      <c r="B105" s="90"/>
      <c r="C105" s="92">
        <v>2</v>
      </c>
      <c r="D105" s="92">
        <v>0</v>
      </c>
      <c r="E105" s="92"/>
      <c r="F105" s="90"/>
      <c r="G105" s="90"/>
      <c r="H105" s="90"/>
      <c r="I105" s="90"/>
      <c r="J105" s="90"/>
      <c r="L105" s="90"/>
      <c r="M105" s="90"/>
      <c r="N105" s="92">
        <v>1</v>
      </c>
      <c r="O105" s="92">
        <v>0</v>
      </c>
      <c r="P105" s="92"/>
      <c r="Q105" s="90"/>
      <c r="R105" s="90"/>
      <c r="S105" s="90"/>
      <c r="U105" s="90"/>
      <c r="V105" s="90"/>
      <c r="W105" s="92">
        <v>3</v>
      </c>
      <c r="X105" s="92">
        <v>0</v>
      </c>
      <c r="Y105" s="92"/>
      <c r="Z105" s="92"/>
      <c r="AA105" s="92"/>
      <c r="AB105" s="90"/>
      <c r="AD105" s="90"/>
      <c r="AE105" s="90"/>
      <c r="AF105" s="92">
        <v>1</v>
      </c>
      <c r="AG105" s="92">
        <v>0</v>
      </c>
      <c r="AH105" s="92"/>
      <c r="AI105" s="90"/>
      <c r="AJ105" s="90"/>
      <c r="AK105" s="90"/>
      <c r="AM105" s="90"/>
      <c r="AN105" s="90"/>
      <c r="AO105" s="92">
        <v>2</v>
      </c>
      <c r="AP105" s="92">
        <v>0</v>
      </c>
      <c r="AQ105" s="92"/>
      <c r="AR105" s="90"/>
      <c r="AT105" s="90"/>
      <c r="AU105" s="90"/>
      <c r="AV105" s="92">
        <v>0</v>
      </c>
      <c r="AW105" s="92">
        <v>2</v>
      </c>
      <c r="AX105" s="92"/>
      <c r="AY105" s="90"/>
      <c r="BA105" s="90"/>
      <c r="BB105" s="90"/>
      <c r="BC105" s="92">
        <v>1</v>
      </c>
      <c r="BD105" s="92">
        <v>0</v>
      </c>
      <c r="BE105" s="92"/>
      <c r="BF105" s="92"/>
      <c r="BH105" s="90"/>
      <c r="BI105" s="90"/>
      <c r="BJ105" s="92">
        <v>3</v>
      </c>
      <c r="BK105" s="92">
        <v>0</v>
      </c>
      <c r="BL105" s="92"/>
      <c r="BM105" s="92"/>
      <c r="BN105" s="92"/>
      <c r="BO105" s="90"/>
      <c r="BQ105" s="90"/>
      <c r="BR105" s="90"/>
      <c r="BS105" s="92">
        <v>2</v>
      </c>
      <c r="BT105" s="92">
        <v>0</v>
      </c>
      <c r="BU105" s="92"/>
      <c r="BV105" s="90"/>
      <c r="BX105" s="90"/>
      <c r="BY105" s="90"/>
      <c r="BZ105" s="92">
        <v>2</v>
      </c>
      <c r="CA105" s="92">
        <v>0</v>
      </c>
      <c r="CB105" s="92"/>
      <c r="CC105" s="90"/>
      <c r="CD105" s="90"/>
      <c r="CE105" s="90"/>
      <c r="CF105" s="90"/>
      <c r="CH105" s="90"/>
      <c r="CI105" s="90"/>
      <c r="CJ105" s="92"/>
      <c r="CK105" s="92"/>
      <c r="CL105" s="92"/>
      <c r="CM105" s="90"/>
      <c r="CO105" s="93"/>
      <c r="CP105" s="93"/>
      <c r="CQ105" s="96"/>
      <c r="CR105" s="96"/>
      <c r="CS105" s="96"/>
      <c r="CT105" s="93"/>
    </row>
    <row r="106" spans="1:98">
      <c r="A106" s="90" t="s">
        <v>556</v>
      </c>
      <c r="B106" s="90">
        <v>4</v>
      </c>
      <c r="C106" s="92" t="s">
        <v>43</v>
      </c>
      <c r="D106" s="92" t="s">
        <v>557</v>
      </c>
      <c r="E106" s="92"/>
      <c r="F106" s="90"/>
      <c r="G106" s="90"/>
      <c r="H106" s="90"/>
      <c r="I106" s="90"/>
      <c r="J106" s="90"/>
      <c r="L106" s="90" t="s">
        <v>575</v>
      </c>
      <c r="M106" s="90">
        <v>4</v>
      </c>
      <c r="N106" s="92" t="s">
        <v>586</v>
      </c>
      <c r="O106" s="92" t="s">
        <v>11</v>
      </c>
      <c r="P106" s="92"/>
      <c r="Q106" s="90"/>
      <c r="R106" s="90"/>
      <c r="S106" s="90"/>
      <c r="U106" s="90" t="s">
        <v>554</v>
      </c>
      <c r="V106" s="90">
        <v>4</v>
      </c>
      <c r="W106" s="92" t="s">
        <v>111</v>
      </c>
      <c r="X106" s="92" t="s">
        <v>11</v>
      </c>
      <c r="Y106" s="92"/>
      <c r="Z106" s="92"/>
      <c r="AA106" s="92"/>
      <c r="AB106" s="90"/>
      <c r="AD106" s="90" t="s">
        <v>220</v>
      </c>
      <c r="AE106" s="90">
        <v>4</v>
      </c>
      <c r="AF106" s="92" t="s">
        <v>141</v>
      </c>
      <c r="AG106" s="92" t="s">
        <v>8</v>
      </c>
      <c r="AH106" s="92"/>
      <c r="AI106" s="90"/>
      <c r="AJ106" s="90"/>
      <c r="AK106" s="90"/>
      <c r="AM106" s="90"/>
      <c r="AN106" s="90">
        <v>4</v>
      </c>
      <c r="AO106" s="92" t="s">
        <v>141</v>
      </c>
      <c r="AP106" s="92" t="s">
        <v>9</v>
      </c>
      <c r="AQ106" s="92"/>
      <c r="AR106" s="90"/>
      <c r="AT106" s="90"/>
      <c r="AU106" s="90">
        <v>4</v>
      </c>
      <c r="AV106" s="92" t="s">
        <v>53</v>
      </c>
      <c r="AW106" s="92" t="s">
        <v>574</v>
      </c>
      <c r="AX106" s="92"/>
      <c r="AY106" s="90"/>
      <c r="BA106" s="90" t="s">
        <v>276</v>
      </c>
      <c r="BB106" s="90">
        <v>4</v>
      </c>
      <c r="BC106" s="92" t="s">
        <v>557</v>
      </c>
      <c r="BD106" s="92" t="s">
        <v>7</v>
      </c>
      <c r="BE106" s="92"/>
      <c r="BF106" s="92"/>
      <c r="BH106" s="90" t="s">
        <v>578</v>
      </c>
      <c r="BI106" s="90">
        <v>4</v>
      </c>
      <c r="BJ106" s="92" t="s">
        <v>894</v>
      </c>
      <c r="BK106" s="92" t="s">
        <v>6</v>
      </c>
      <c r="BL106" s="92"/>
      <c r="BM106" s="92"/>
      <c r="BN106" s="92"/>
      <c r="BO106" s="90"/>
      <c r="BQ106" s="90"/>
      <c r="BR106" s="90">
        <v>4</v>
      </c>
      <c r="BS106" s="92" t="s">
        <v>894</v>
      </c>
      <c r="BT106" s="92" t="s">
        <v>44</v>
      </c>
      <c r="BU106" s="92"/>
      <c r="BV106" s="90"/>
      <c r="BX106" s="90" t="s">
        <v>582</v>
      </c>
      <c r="BY106" s="90">
        <v>4</v>
      </c>
      <c r="BZ106" s="92" t="s">
        <v>36</v>
      </c>
      <c r="CA106" s="92" t="s">
        <v>141</v>
      </c>
      <c r="CB106" s="92"/>
      <c r="CC106" s="90"/>
      <c r="CD106" s="90"/>
      <c r="CE106" s="90"/>
      <c r="CF106" s="90"/>
      <c r="CH106" s="90"/>
      <c r="CI106" s="90">
        <v>4</v>
      </c>
      <c r="CJ106" s="92"/>
      <c r="CK106" s="92"/>
      <c r="CL106" s="92"/>
      <c r="CM106" s="90"/>
      <c r="CO106" s="93"/>
      <c r="CP106" s="93">
        <v>4</v>
      </c>
      <c r="CQ106" s="96"/>
      <c r="CR106" s="96"/>
      <c r="CS106" s="96"/>
      <c r="CT106" s="96"/>
    </row>
    <row r="107" spans="1:98">
      <c r="A107" s="90"/>
      <c r="B107" s="90"/>
      <c r="C107" s="92">
        <v>0</v>
      </c>
      <c r="D107" s="92">
        <v>1</v>
      </c>
      <c r="E107" s="92"/>
      <c r="F107" s="90"/>
      <c r="G107" s="90"/>
      <c r="H107" s="90"/>
      <c r="I107" s="90"/>
      <c r="J107" s="90"/>
      <c r="L107" s="90"/>
      <c r="M107" s="90"/>
      <c r="N107" s="92">
        <v>2</v>
      </c>
      <c r="O107" s="92">
        <v>0</v>
      </c>
      <c r="P107" s="92"/>
      <c r="Q107" s="90"/>
      <c r="R107" s="90"/>
      <c r="S107" s="90"/>
      <c r="U107" s="90" t="s">
        <v>743</v>
      </c>
      <c r="V107" s="90"/>
      <c r="W107" s="92">
        <v>1</v>
      </c>
      <c r="X107" s="92">
        <v>0</v>
      </c>
      <c r="Y107" s="92"/>
      <c r="Z107" s="92"/>
      <c r="AA107" s="92"/>
      <c r="AB107" s="90"/>
      <c r="AD107" s="90"/>
      <c r="AE107" s="90"/>
      <c r="AF107" s="92">
        <v>3</v>
      </c>
      <c r="AG107" s="92">
        <v>0</v>
      </c>
      <c r="AH107" s="92"/>
      <c r="AI107" s="90"/>
      <c r="AJ107" s="90"/>
      <c r="AK107" s="90"/>
      <c r="AM107" s="90"/>
      <c r="AN107" s="90"/>
      <c r="AO107" s="92">
        <v>2</v>
      </c>
      <c r="AP107" s="92">
        <v>0</v>
      </c>
      <c r="AQ107" s="92"/>
      <c r="AR107" s="90"/>
      <c r="AT107" s="90"/>
      <c r="AU107" s="90"/>
      <c r="AV107" s="92">
        <v>0</v>
      </c>
      <c r="AW107" s="92">
        <v>2</v>
      </c>
      <c r="AX107" s="92"/>
      <c r="AY107" s="90"/>
      <c r="BA107" s="90"/>
      <c r="BB107" s="90"/>
      <c r="BC107" s="92">
        <v>1</v>
      </c>
      <c r="BD107" s="92">
        <v>0</v>
      </c>
      <c r="BE107" s="92"/>
      <c r="BF107" s="92"/>
      <c r="BH107" s="90"/>
      <c r="BI107" s="90"/>
      <c r="BJ107" s="92">
        <v>1</v>
      </c>
      <c r="BK107" s="92">
        <v>-1</v>
      </c>
      <c r="BL107" s="92"/>
      <c r="BM107" s="92"/>
      <c r="BN107" s="92"/>
      <c r="BO107" s="90"/>
      <c r="BQ107" s="90"/>
      <c r="BR107" s="90"/>
      <c r="BS107" s="92">
        <v>2</v>
      </c>
      <c r="BT107" s="92">
        <v>0</v>
      </c>
      <c r="BU107" s="92"/>
      <c r="BV107" s="90"/>
      <c r="BX107" s="90"/>
      <c r="BY107" s="90"/>
      <c r="BZ107" s="92">
        <v>0</v>
      </c>
      <c r="CA107" s="92">
        <v>1</v>
      </c>
      <c r="CB107" s="92"/>
      <c r="CC107" s="90"/>
      <c r="CD107" s="90"/>
      <c r="CE107" s="90"/>
      <c r="CF107" s="90"/>
      <c r="CH107" s="90"/>
      <c r="CI107" s="90"/>
      <c r="CJ107" s="92"/>
      <c r="CK107" s="92"/>
      <c r="CL107" s="92"/>
      <c r="CM107" s="90"/>
      <c r="CO107" s="93"/>
      <c r="CP107" s="93"/>
      <c r="CQ107" s="96"/>
      <c r="CR107" s="96"/>
      <c r="CS107" s="96"/>
      <c r="CT107" s="96"/>
    </row>
    <row r="108" spans="1:98">
      <c r="A108" s="90" t="s">
        <v>108</v>
      </c>
      <c r="B108" s="90">
        <v>5</v>
      </c>
      <c r="C108" s="92" t="s">
        <v>60</v>
      </c>
      <c r="D108" s="92" t="s">
        <v>584</v>
      </c>
      <c r="E108" s="92"/>
      <c r="F108" s="90"/>
      <c r="G108" s="90"/>
      <c r="H108" s="90"/>
      <c r="I108" s="90"/>
      <c r="J108" s="90"/>
      <c r="L108" s="90" t="s">
        <v>554</v>
      </c>
      <c r="M108" s="90">
        <v>5</v>
      </c>
      <c r="N108" s="92" t="s">
        <v>574</v>
      </c>
      <c r="O108" s="92" t="s">
        <v>43</v>
      </c>
      <c r="P108" s="92"/>
      <c r="Q108" s="90"/>
      <c r="R108" s="90"/>
      <c r="S108" s="90"/>
      <c r="U108" s="90" t="s">
        <v>829</v>
      </c>
      <c r="V108" s="90">
        <v>5</v>
      </c>
      <c r="W108" s="92" t="s">
        <v>123</v>
      </c>
      <c r="X108" s="92" t="s">
        <v>61</v>
      </c>
      <c r="Y108" s="92"/>
      <c r="Z108" s="92"/>
      <c r="AA108" s="92"/>
      <c r="AB108" s="90"/>
      <c r="AD108" s="90" t="s">
        <v>592</v>
      </c>
      <c r="AE108" s="90">
        <v>5</v>
      </c>
      <c r="AF108" s="92" t="s">
        <v>533</v>
      </c>
      <c r="AG108" s="92" t="s">
        <v>6</v>
      </c>
      <c r="AH108" s="92" t="s">
        <v>550</v>
      </c>
      <c r="AI108" s="90"/>
      <c r="AJ108" s="90"/>
      <c r="AK108" s="90"/>
      <c r="AM108" s="90" t="s">
        <v>554</v>
      </c>
      <c r="AN108" s="90">
        <v>5</v>
      </c>
      <c r="AO108" s="92" t="s">
        <v>574</v>
      </c>
      <c r="AP108" s="92" t="s">
        <v>60</v>
      </c>
      <c r="AQ108" s="92"/>
      <c r="AR108" s="90"/>
      <c r="AT108" s="90" t="s">
        <v>581</v>
      </c>
      <c r="AU108" s="90">
        <v>5</v>
      </c>
      <c r="AV108" s="92" t="s">
        <v>72</v>
      </c>
      <c r="AW108" s="92" t="s">
        <v>12</v>
      </c>
      <c r="AX108" s="92"/>
      <c r="AY108" s="90"/>
      <c r="BA108" s="90" t="s">
        <v>644</v>
      </c>
      <c r="BB108" s="90">
        <v>5</v>
      </c>
      <c r="BC108" s="92" t="s">
        <v>19</v>
      </c>
      <c r="BD108" s="92" t="s">
        <v>72</v>
      </c>
      <c r="BE108" s="92"/>
      <c r="BF108" s="92"/>
      <c r="BH108" s="90" t="s">
        <v>657</v>
      </c>
      <c r="BI108" s="90">
        <v>5</v>
      </c>
      <c r="BJ108" s="92" t="s">
        <v>61</v>
      </c>
      <c r="BK108" s="92" t="s">
        <v>138</v>
      </c>
      <c r="BL108" s="92"/>
      <c r="BM108" s="92"/>
      <c r="BN108" s="92"/>
      <c r="BO108" s="90"/>
      <c r="BQ108" s="90" t="s">
        <v>555</v>
      </c>
      <c r="BR108" s="90">
        <v>5</v>
      </c>
      <c r="BS108" s="92" t="s">
        <v>59</v>
      </c>
      <c r="BT108" s="92" t="s">
        <v>796</v>
      </c>
      <c r="BU108" s="92"/>
      <c r="BV108" s="90"/>
      <c r="BX108" s="90" t="s">
        <v>805</v>
      </c>
      <c r="BY108" s="90">
        <v>5</v>
      </c>
      <c r="BZ108" s="92" t="s">
        <v>138</v>
      </c>
      <c r="CA108" s="92" t="s">
        <v>59</v>
      </c>
      <c r="CB108" s="92"/>
      <c r="CC108" s="90"/>
      <c r="CD108" s="90"/>
      <c r="CE108" s="90"/>
      <c r="CF108" s="90"/>
      <c r="CH108" s="90"/>
      <c r="CI108" s="90">
        <v>5</v>
      </c>
      <c r="CJ108" s="92"/>
      <c r="CK108" s="92"/>
      <c r="CL108" s="92"/>
      <c r="CM108" s="90"/>
      <c r="CO108" s="93"/>
      <c r="CP108" s="93">
        <v>5</v>
      </c>
      <c r="CQ108" s="96"/>
      <c r="CR108" s="96"/>
      <c r="CS108" s="96"/>
      <c r="CT108" s="93"/>
    </row>
    <row r="109" spans="1:98">
      <c r="A109" s="90"/>
      <c r="B109" s="90"/>
      <c r="C109" s="92">
        <v>0</v>
      </c>
      <c r="D109" s="92">
        <v>1</v>
      </c>
      <c r="E109" s="92"/>
      <c r="F109" s="90"/>
      <c r="G109" s="90"/>
      <c r="H109" s="90"/>
      <c r="I109" s="90"/>
      <c r="J109" s="90"/>
      <c r="L109" s="90"/>
      <c r="M109" s="90"/>
      <c r="N109" s="92">
        <v>2</v>
      </c>
      <c r="O109" s="92">
        <v>0</v>
      </c>
      <c r="P109" s="92"/>
      <c r="Q109" s="90"/>
      <c r="R109" s="90"/>
      <c r="S109" s="90"/>
      <c r="U109" s="90"/>
      <c r="V109" s="90"/>
      <c r="W109" s="92">
        <v>2</v>
      </c>
      <c r="X109" s="92">
        <v>0</v>
      </c>
      <c r="Y109" s="92"/>
      <c r="Z109" s="92"/>
      <c r="AA109" s="92"/>
      <c r="AB109" s="90"/>
      <c r="AD109" s="90"/>
      <c r="AE109" s="90"/>
      <c r="AF109" s="92">
        <v>-1</v>
      </c>
      <c r="AG109" s="92">
        <v>0</v>
      </c>
      <c r="AH109" s="92">
        <v>1</v>
      </c>
      <c r="AI109" s="90"/>
      <c r="AJ109" s="90"/>
      <c r="AK109" s="90"/>
      <c r="AM109" s="90"/>
      <c r="AN109" s="90"/>
      <c r="AO109" s="92">
        <v>2</v>
      </c>
      <c r="AP109" s="92">
        <v>0</v>
      </c>
      <c r="AQ109" s="92"/>
      <c r="AR109" s="90"/>
      <c r="AT109" s="90"/>
      <c r="AU109" s="90"/>
      <c r="AV109" s="92">
        <v>2</v>
      </c>
      <c r="AW109" s="92">
        <v>0</v>
      </c>
      <c r="AX109" s="92"/>
      <c r="AY109" s="90"/>
      <c r="BA109" s="90"/>
      <c r="BB109" s="90"/>
      <c r="BC109" s="92">
        <v>0</v>
      </c>
      <c r="BD109" s="92">
        <v>2</v>
      </c>
      <c r="BE109" s="92"/>
      <c r="BF109" s="92"/>
      <c r="BH109" s="90"/>
      <c r="BI109" s="90"/>
      <c r="BJ109" s="92">
        <v>0</v>
      </c>
      <c r="BK109" s="92">
        <v>1</v>
      </c>
      <c r="BL109" s="92"/>
      <c r="BM109" s="92"/>
      <c r="BN109" s="92"/>
      <c r="BO109" s="90"/>
      <c r="BQ109" s="90"/>
      <c r="BR109" s="90"/>
      <c r="BS109" s="92">
        <v>0</v>
      </c>
      <c r="BT109" s="92">
        <v>3</v>
      </c>
      <c r="BU109" s="92"/>
      <c r="BV109" s="90"/>
      <c r="BX109" s="90"/>
      <c r="BY109" s="90"/>
      <c r="BZ109" s="92">
        <v>1</v>
      </c>
      <c r="CA109" s="92">
        <v>0</v>
      </c>
      <c r="CB109" s="92"/>
      <c r="CC109" s="90"/>
      <c r="CD109" s="90"/>
      <c r="CE109" s="90"/>
      <c r="CF109" s="90"/>
      <c r="CH109" s="90"/>
      <c r="CI109" s="90"/>
      <c r="CJ109" s="92"/>
      <c r="CK109" s="92"/>
      <c r="CL109" s="92"/>
      <c r="CM109" s="90"/>
      <c r="CO109" s="93"/>
      <c r="CP109" s="93"/>
      <c r="CQ109" s="96"/>
      <c r="CR109" s="96"/>
      <c r="CS109" s="96"/>
      <c r="CT109" s="93"/>
    </row>
    <row r="110" spans="1:98">
      <c r="U110" s="90" t="s">
        <v>839</v>
      </c>
      <c r="V110" s="90">
        <v>6</v>
      </c>
      <c r="W110" s="92" t="s">
        <v>123</v>
      </c>
      <c r="X110" s="92" t="s">
        <v>59</v>
      </c>
      <c r="Y110" s="92"/>
      <c r="Z110" s="92"/>
      <c r="AA110" s="92"/>
      <c r="AB110" s="90"/>
      <c r="CO110" s="32"/>
      <c r="CP110" s="32"/>
      <c r="CQ110" s="32"/>
      <c r="CR110" s="32"/>
      <c r="CS110" s="32"/>
      <c r="CT110" s="32"/>
    </row>
    <row r="111" spans="1:98" ht="21">
      <c r="A111" s="18"/>
      <c r="B111" s="20" t="s">
        <v>99</v>
      </c>
      <c r="C111" s="29" t="s">
        <v>449</v>
      </c>
      <c r="D111" s="19"/>
      <c r="E111" s="18"/>
      <c r="F111" s="18"/>
      <c r="G111" s="18"/>
      <c r="H111" s="18"/>
      <c r="I111" s="18"/>
      <c r="J111" s="18"/>
      <c r="L111" s="18"/>
      <c r="M111" s="20" t="s">
        <v>430</v>
      </c>
      <c r="N111" s="29" t="s">
        <v>259</v>
      </c>
      <c r="O111" s="19"/>
      <c r="P111" s="18"/>
      <c r="Q111" s="18"/>
      <c r="R111" s="18"/>
      <c r="S111" s="18" t="s">
        <v>738</v>
      </c>
      <c r="U111" s="90"/>
      <c r="V111" s="90"/>
      <c r="W111" s="92">
        <v>2</v>
      </c>
      <c r="X111" s="92">
        <v>0</v>
      </c>
      <c r="Y111" s="92"/>
      <c r="Z111" s="92"/>
      <c r="AA111" s="92"/>
      <c r="AB111" s="90"/>
      <c r="AD111" s="18"/>
      <c r="AE111" s="20" t="s">
        <v>432</v>
      </c>
      <c r="AF111" s="29" t="s">
        <v>450</v>
      </c>
      <c r="AG111" s="19"/>
      <c r="AH111" s="18"/>
      <c r="AI111" s="18"/>
      <c r="AJ111" s="18"/>
      <c r="AK111" s="18"/>
      <c r="AM111" s="18"/>
      <c r="AN111" s="20" t="s">
        <v>231</v>
      </c>
      <c r="AO111" s="29" t="s">
        <v>232</v>
      </c>
      <c r="AP111" s="19"/>
      <c r="AQ111" s="18"/>
      <c r="AR111" s="18"/>
      <c r="AT111" s="18"/>
      <c r="AU111" s="20" t="s">
        <v>252</v>
      </c>
      <c r="AV111" s="29" t="s">
        <v>119</v>
      </c>
      <c r="AW111" s="19"/>
      <c r="AX111" s="18"/>
      <c r="AY111" s="18"/>
      <c r="BA111" s="18"/>
      <c r="BB111" s="20" t="s">
        <v>435</v>
      </c>
      <c r="BC111" s="29" t="s">
        <v>74</v>
      </c>
      <c r="BD111" s="19"/>
      <c r="BE111" s="19"/>
      <c r="BF111" s="19"/>
      <c r="BH111" s="18"/>
      <c r="BI111" s="20" t="s">
        <v>436</v>
      </c>
      <c r="BJ111" s="44" t="s">
        <v>179</v>
      </c>
      <c r="BK111" s="19"/>
      <c r="BL111" s="18"/>
      <c r="BM111" s="18"/>
      <c r="BN111" s="18"/>
      <c r="BO111" s="18"/>
      <c r="BQ111" s="18"/>
      <c r="BR111" s="20" t="s">
        <v>448</v>
      </c>
      <c r="BS111" s="29" t="s">
        <v>795</v>
      </c>
      <c r="BT111" s="19"/>
      <c r="BU111" s="18"/>
      <c r="BV111" s="18"/>
      <c r="BX111" s="18"/>
      <c r="BY111" s="20" t="s">
        <v>437</v>
      </c>
      <c r="BZ111" s="29" t="s">
        <v>812</v>
      </c>
      <c r="CA111" s="19"/>
      <c r="CB111" s="18"/>
      <c r="CC111" s="18"/>
      <c r="CD111" s="18"/>
      <c r="CE111" s="18"/>
      <c r="CF111" s="18"/>
      <c r="CH111" s="18"/>
      <c r="CI111" s="20" t="s">
        <v>439</v>
      </c>
      <c r="CJ111" s="29" t="s">
        <v>250</v>
      </c>
      <c r="CK111" s="19"/>
      <c r="CL111" s="18"/>
      <c r="CM111" s="18"/>
      <c r="CO111" s="42"/>
      <c r="CP111" s="43" t="s">
        <v>346</v>
      </c>
      <c r="CQ111" s="44" t="s">
        <v>349</v>
      </c>
      <c r="CR111" s="45"/>
      <c r="CS111" s="45"/>
      <c r="CT111" s="45"/>
    </row>
    <row r="112" spans="1:98">
      <c r="A112" s="18" t="s">
        <v>130</v>
      </c>
      <c r="B112" s="18">
        <v>1</v>
      </c>
      <c r="C112" s="19" t="s">
        <v>36</v>
      </c>
      <c r="D112" s="19" t="s">
        <v>145</v>
      </c>
      <c r="E112" s="19"/>
      <c r="F112" s="18"/>
      <c r="G112" s="18"/>
      <c r="H112" s="18"/>
      <c r="I112" s="18"/>
      <c r="J112" s="18"/>
      <c r="L112" s="18" t="s">
        <v>732</v>
      </c>
      <c r="M112" s="18">
        <v>1</v>
      </c>
      <c r="N112" s="19" t="s">
        <v>557</v>
      </c>
      <c r="O112" s="19" t="s">
        <v>60</v>
      </c>
      <c r="P112" s="19"/>
      <c r="Q112" s="18"/>
      <c r="R112" s="18"/>
      <c r="S112" s="18"/>
      <c r="AD112" s="18" t="s">
        <v>132</v>
      </c>
      <c r="AE112" s="18">
        <v>1</v>
      </c>
      <c r="AF112" s="19" t="s">
        <v>532</v>
      </c>
      <c r="AG112" s="19" t="s">
        <v>546</v>
      </c>
      <c r="AH112" s="19"/>
      <c r="AI112" s="18"/>
      <c r="AJ112" s="18"/>
      <c r="AK112" s="18"/>
      <c r="AM112" s="18" t="s">
        <v>130</v>
      </c>
      <c r="AN112" s="18">
        <v>1</v>
      </c>
      <c r="AO112" s="19" t="s">
        <v>156</v>
      </c>
      <c r="AP112" s="19" t="s">
        <v>445</v>
      </c>
      <c r="AQ112" s="19"/>
      <c r="AR112" s="18"/>
      <c r="AT112" s="18" t="s">
        <v>128</v>
      </c>
      <c r="AU112" s="18">
        <v>1</v>
      </c>
      <c r="AV112" s="19" t="s">
        <v>558</v>
      </c>
      <c r="AW112" s="19" t="s">
        <v>4</v>
      </c>
      <c r="AX112" s="19" t="s">
        <v>54</v>
      </c>
      <c r="AY112" s="18"/>
      <c r="BA112" s="18" t="s">
        <v>279</v>
      </c>
      <c r="BB112" s="18">
        <v>1</v>
      </c>
      <c r="BC112" s="19" t="s">
        <v>869</v>
      </c>
      <c r="BD112" s="19" t="s">
        <v>48</v>
      </c>
      <c r="BE112" s="19"/>
      <c r="BF112" s="19" t="s">
        <v>243</v>
      </c>
      <c r="BH112" s="18" t="s">
        <v>129</v>
      </c>
      <c r="BI112" s="18">
        <v>1</v>
      </c>
      <c r="BJ112" s="19" t="s">
        <v>567</v>
      </c>
      <c r="BK112" s="19" t="s">
        <v>542</v>
      </c>
      <c r="BL112" s="19" t="s">
        <v>41</v>
      </c>
      <c r="BM112" s="19"/>
      <c r="BN112" s="19"/>
      <c r="BO112" s="19"/>
      <c r="BQ112" s="18" t="s">
        <v>128</v>
      </c>
      <c r="BR112" s="18">
        <v>1</v>
      </c>
      <c r="BS112" s="19" t="s">
        <v>596</v>
      </c>
      <c r="BT112" s="19" t="s">
        <v>65</v>
      </c>
      <c r="BU112" s="19"/>
      <c r="BV112" s="18"/>
      <c r="BX112" s="18" t="s">
        <v>565</v>
      </c>
      <c r="BY112" s="18">
        <v>1</v>
      </c>
      <c r="BZ112" s="19" t="s">
        <v>9</v>
      </c>
      <c r="CA112" s="19" t="s">
        <v>550</v>
      </c>
      <c r="CB112" s="19"/>
      <c r="CC112" s="18"/>
      <c r="CD112" s="18"/>
      <c r="CE112" s="18"/>
      <c r="CF112" s="18"/>
      <c r="CH112" s="18"/>
      <c r="CI112" s="18">
        <v>1</v>
      </c>
      <c r="CJ112" s="19"/>
      <c r="CK112" s="19"/>
      <c r="CL112" s="19"/>
      <c r="CM112" s="18"/>
      <c r="CO112" s="42"/>
      <c r="CP112" s="89">
        <v>1</v>
      </c>
      <c r="CQ112" s="45"/>
      <c r="CR112" s="45"/>
      <c r="CS112" s="45"/>
      <c r="CT112" s="45"/>
    </row>
    <row r="113" spans="1:98" ht="21">
      <c r="A113" s="18"/>
      <c r="B113" s="18"/>
      <c r="C113" s="19">
        <v>0</v>
      </c>
      <c r="D113" s="19">
        <v>2</v>
      </c>
      <c r="E113" s="19"/>
      <c r="F113" s="18"/>
      <c r="G113" s="18"/>
      <c r="H113" s="18"/>
      <c r="I113" s="18"/>
      <c r="J113" s="18"/>
      <c r="L113" s="18"/>
      <c r="M113" s="18"/>
      <c r="N113" s="19">
        <v>2</v>
      </c>
      <c r="O113" s="19">
        <v>-2</v>
      </c>
      <c r="P113" s="19"/>
      <c r="Q113" s="18"/>
      <c r="R113" s="18"/>
      <c r="S113" s="18"/>
      <c r="U113" s="18"/>
      <c r="V113" s="20" t="s">
        <v>431</v>
      </c>
      <c r="W113" s="29" t="s">
        <v>447</v>
      </c>
      <c r="X113" s="19"/>
      <c r="Y113" s="18"/>
      <c r="Z113" s="18"/>
      <c r="AA113" s="18"/>
      <c r="AB113" s="18"/>
      <c r="AD113" s="18"/>
      <c r="AE113" s="18"/>
      <c r="AF113" s="19">
        <v>0</v>
      </c>
      <c r="AG113" s="19">
        <v>1</v>
      </c>
      <c r="AH113" s="19"/>
      <c r="AI113" s="18"/>
      <c r="AJ113" s="18"/>
      <c r="AK113" s="18"/>
      <c r="AM113" s="18"/>
      <c r="AN113" s="18"/>
      <c r="AO113" s="19">
        <v>2</v>
      </c>
      <c r="AP113" s="19">
        <v>0</v>
      </c>
      <c r="AQ113" s="19"/>
      <c r="AR113" s="18"/>
      <c r="AT113" s="18"/>
      <c r="AU113" s="18"/>
      <c r="AV113" s="19">
        <v>2</v>
      </c>
      <c r="AW113" s="19">
        <v>-1</v>
      </c>
      <c r="AX113" s="19">
        <v>-1</v>
      </c>
      <c r="AY113" s="18"/>
      <c r="BA113" s="18"/>
      <c r="BB113" s="18"/>
      <c r="BC113" s="19">
        <v>1</v>
      </c>
      <c r="BD113" s="19">
        <v>0</v>
      </c>
      <c r="BE113" s="19"/>
      <c r="BF113" s="19"/>
      <c r="BH113" s="18" t="s">
        <v>729</v>
      </c>
      <c r="BI113" s="18"/>
      <c r="BJ113" s="19">
        <v>2</v>
      </c>
      <c r="BK113" s="19">
        <v>-2</v>
      </c>
      <c r="BL113" s="19">
        <v>0</v>
      </c>
      <c r="BM113" s="19"/>
      <c r="BN113" s="19"/>
      <c r="BO113" s="19"/>
      <c r="BQ113" s="18"/>
      <c r="BR113" s="18"/>
      <c r="BS113" s="19">
        <v>2</v>
      </c>
      <c r="BT113" s="19">
        <v>-2</v>
      </c>
      <c r="BU113" s="19"/>
      <c r="BV113" s="18"/>
      <c r="BX113" s="18"/>
      <c r="BY113" s="18"/>
      <c r="BZ113" s="19">
        <v>-1</v>
      </c>
      <c r="CA113" s="19">
        <v>1</v>
      </c>
      <c r="CB113" s="19"/>
      <c r="CC113" s="18"/>
      <c r="CD113" s="18"/>
      <c r="CE113" s="18"/>
      <c r="CF113" s="18"/>
      <c r="CH113" s="18"/>
      <c r="CI113" s="18"/>
      <c r="CJ113" s="19"/>
      <c r="CK113" s="19"/>
      <c r="CL113" s="19"/>
      <c r="CM113" s="18"/>
      <c r="CO113" s="42"/>
      <c r="CP113" s="88"/>
      <c r="CQ113" s="45"/>
      <c r="CR113" s="45"/>
      <c r="CS113" s="45"/>
      <c r="CT113" s="45"/>
    </row>
    <row r="114" spans="1:98">
      <c r="A114" s="18" t="s">
        <v>129</v>
      </c>
      <c r="B114" s="18">
        <v>2</v>
      </c>
      <c r="C114" s="19" t="s">
        <v>75</v>
      </c>
      <c r="D114" s="19" t="s">
        <v>446</v>
      </c>
      <c r="E114" s="19"/>
      <c r="F114" s="19"/>
      <c r="G114" s="19"/>
      <c r="H114" s="19"/>
      <c r="I114" s="19"/>
      <c r="J114" s="19"/>
      <c r="L114" s="18" t="s">
        <v>132</v>
      </c>
      <c r="M114" s="18">
        <v>2</v>
      </c>
      <c r="N114" s="19" t="s">
        <v>588</v>
      </c>
      <c r="O114" s="19" t="s">
        <v>17</v>
      </c>
      <c r="P114" s="19"/>
      <c r="Q114" s="19"/>
      <c r="R114" s="19"/>
      <c r="S114" s="19"/>
      <c r="U114" s="18" t="s">
        <v>132</v>
      </c>
      <c r="V114" s="18">
        <v>1</v>
      </c>
      <c r="W114" s="19" t="s">
        <v>588</v>
      </c>
      <c r="X114" s="19" t="s">
        <v>39</v>
      </c>
      <c r="Y114" s="19"/>
      <c r="Z114" s="19"/>
      <c r="AA114" s="19"/>
      <c r="AB114" s="19"/>
      <c r="AD114" s="18" t="s">
        <v>128</v>
      </c>
      <c r="AE114" s="18">
        <v>2</v>
      </c>
      <c r="AF114" s="19" t="s">
        <v>76</v>
      </c>
      <c r="AG114" s="19" t="s">
        <v>558</v>
      </c>
      <c r="AH114" s="19"/>
      <c r="AI114" s="19"/>
      <c r="AJ114" s="19"/>
      <c r="AK114" s="19"/>
      <c r="AM114" s="18" t="s">
        <v>563</v>
      </c>
      <c r="AN114" s="18">
        <v>2</v>
      </c>
      <c r="AO114" s="19" t="s">
        <v>66</v>
      </c>
      <c r="AP114" s="19" t="s">
        <v>574</v>
      </c>
      <c r="AQ114" s="19"/>
      <c r="AR114" s="19"/>
      <c r="AT114" s="18" t="s">
        <v>132</v>
      </c>
      <c r="AU114" s="18">
        <v>2</v>
      </c>
      <c r="AV114" s="19" t="s">
        <v>17</v>
      </c>
      <c r="AW114" s="19" t="s">
        <v>166</v>
      </c>
      <c r="AX114" s="19"/>
      <c r="AY114" s="19"/>
      <c r="BA114" s="18" t="s">
        <v>280</v>
      </c>
      <c r="BB114" s="18">
        <v>2</v>
      </c>
      <c r="BC114" s="19" t="s">
        <v>83</v>
      </c>
      <c r="BD114" s="19" t="s">
        <v>16</v>
      </c>
      <c r="BE114" s="19"/>
      <c r="BF114" s="19"/>
      <c r="BH114" s="18" t="s">
        <v>563</v>
      </c>
      <c r="BI114" s="18">
        <v>2</v>
      </c>
      <c r="BJ114" s="19" t="s">
        <v>584</v>
      </c>
      <c r="BK114" s="19" t="s">
        <v>445</v>
      </c>
      <c r="BL114" s="19" t="s">
        <v>50</v>
      </c>
      <c r="BM114" s="19"/>
      <c r="BN114" s="19"/>
      <c r="BO114" s="19"/>
      <c r="BQ114" s="18" t="s">
        <v>129</v>
      </c>
      <c r="BR114" s="18">
        <v>2</v>
      </c>
      <c r="BS114" s="19" t="s">
        <v>567</v>
      </c>
      <c r="BT114" s="19" t="s">
        <v>2</v>
      </c>
      <c r="BU114" s="19"/>
      <c r="BV114" s="19"/>
      <c r="BX114" s="18" t="s">
        <v>563</v>
      </c>
      <c r="BY114" s="18">
        <v>2</v>
      </c>
      <c r="BZ114" s="19" t="s">
        <v>584</v>
      </c>
      <c r="CA114" s="19" t="s">
        <v>61</v>
      </c>
      <c r="CB114" s="19"/>
      <c r="CC114" s="19"/>
      <c r="CD114" s="19"/>
      <c r="CE114" s="19"/>
      <c r="CF114" s="19"/>
      <c r="CH114" s="18"/>
      <c r="CI114" s="18">
        <v>2</v>
      </c>
      <c r="CJ114" s="19"/>
      <c r="CK114" s="19"/>
      <c r="CL114" s="19"/>
      <c r="CM114" s="19"/>
      <c r="CO114" s="42"/>
      <c r="CP114" s="89">
        <v>2</v>
      </c>
      <c r="CQ114" s="45"/>
      <c r="CR114" s="45"/>
      <c r="CS114" s="45"/>
      <c r="CT114" s="45"/>
    </row>
    <row r="115" spans="1:98" ht="20.65">
      <c r="A115" s="18" t="s">
        <v>729</v>
      </c>
      <c r="B115" s="18"/>
      <c r="C115" s="19">
        <v>2</v>
      </c>
      <c r="D115" s="19">
        <v>-1</v>
      </c>
      <c r="E115" s="19"/>
      <c r="F115" s="19"/>
      <c r="G115" s="19"/>
      <c r="H115" s="19"/>
      <c r="I115" s="19"/>
      <c r="J115" s="19"/>
      <c r="L115" s="18"/>
      <c r="M115" s="18"/>
      <c r="N115" s="19">
        <v>1</v>
      </c>
      <c r="O115" s="19">
        <v>0</v>
      </c>
      <c r="P115" s="19"/>
      <c r="Q115" s="19"/>
      <c r="R115" s="19"/>
      <c r="S115" s="19"/>
      <c r="U115" s="18"/>
      <c r="V115" s="18"/>
      <c r="W115" s="19">
        <v>2</v>
      </c>
      <c r="X115" s="19">
        <v>0</v>
      </c>
      <c r="Y115" s="19"/>
      <c r="Z115" s="19"/>
      <c r="AA115" s="19"/>
      <c r="AB115" s="19"/>
      <c r="AD115" s="18"/>
      <c r="AE115" s="18"/>
      <c r="AF115" s="19">
        <v>0</v>
      </c>
      <c r="AG115" s="19">
        <v>0</v>
      </c>
      <c r="AH115" s="19"/>
      <c r="AI115" s="19"/>
      <c r="AJ115" s="19"/>
      <c r="AK115" s="19"/>
      <c r="AM115" s="18"/>
      <c r="AN115" s="18"/>
      <c r="AO115" s="19">
        <v>0</v>
      </c>
      <c r="AP115" s="19">
        <v>1</v>
      </c>
      <c r="AQ115" s="19"/>
      <c r="AR115" s="19"/>
      <c r="AT115" s="18"/>
      <c r="AU115" s="18"/>
      <c r="AV115" s="19">
        <v>0</v>
      </c>
      <c r="AW115" s="19">
        <v>1</v>
      </c>
      <c r="AX115" s="19"/>
      <c r="AY115" s="19"/>
      <c r="BA115" s="18"/>
      <c r="BB115" s="18"/>
      <c r="BC115" s="19">
        <v>1</v>
      </c>
      <c r="BD115" s="19">
        <v>0</v>
      </c>
      <c r="BE115" s="19"/>
      <c r="BF115" s="19"/>
      <c r="BH115" s="18"/>
      <c r="BI115" s="18"/>
      <c r="BJ115" s="19">
        <v>1</v>
      </c>
      <c r="BK115" s="19">
        <v>0</v>
      </c>
      <c r="BL115" s="19">
        <v>0</v>
      </c>
      <c r="BM115" s="19"/>
      <c r="BN115" s="19"/>
      <c r="BO115" s="19"/>
      <c r="BQ115" s="18" t="s">
        <v>736</v>
      </c>
      <c r="BR115" s="18"/>
      <c r="BS115" s="19">
        <v>1</v>
      </c>
      <c r="BT115" s="19">
        <v>-1</v>
      </c>
      <c r="BU115" s="19"/>
      <c r="BV115" s="19"/>
      <c r="BX115" s="18"/>
      <c r="BY115" s="18"/>
      <c r="BZ115" s="19">
        <v>3</v>
      </c>
      <c r="CA115" s="19">
        <v>0</v>
      </c>
      <c r="CB115" s="19"/>
      <c r="CC115" s="19"/>
      <c r="CD115" s="19"/>
      <c r="CE115" s="19"/>
      <c r="CF115" s="19"/>
      <c r="CH115" s="18"/>
      <c r="CI115" s="18"/>
      <c r="CJ115" s="19"/>
      <c r="CK115" s="19"/>
      <c r="CL115" s="19"/>
      <c r="CM115" s="19"/>
      <c r="CO115" s="42"/>
      <c r="CP115" s="88"/>
      <c r="CQ115" s="45"/>
      <c r="CR115" s="45"/>
      <c r="CS115" s="45"/>
      <c r="CT115" s="45"/>
    </row>
    <row r="116" spans="1:98">
      <c r="A116" s="18" t="s">
        <v>565</v>
      </c>
      <c r="B116" s="18">
        <v>3</v>
      </c>
      <c r="C116" s="19" t="s">
        <v>65</v>
      </c>
      <c r="D116" s="19" t="s">
        <v>557</v>
      </c>
      <c r="E116" s="18"/>
      <c r="F116" s="18"/>
      <c r="G116" s="18"/>
      <c r="H116" s="18"/>
      <c r="I116" s="18"/>
      <c r="J116" s="18"/>
      <c r="L116" s="18" t="s">
        <v>128</v>
      </c>
      <c r="M116" s="18">
        <v>3</v>
      </c>
      <c r="N116" s="19" t="s">
        <v>49</v>
      </c>
      <c r="O116" s="19" t="s">
        <v>596</v>
      </c>
      <c r="P116" s="18"/>
      <c r="Q116" s="18"/>
      <c r="R116" s="18"/>
      <c r="S116" s="18"/>
      <c r="U116" s="18" t="s">
        <v>565</v>
      </c>
      <c r="V116" s="18">
        <v>2</v>
      </c>
      <c r="W116" s="19" t="s">
        <v>557</v>
      </c>
      <c r="X116" s="19" t="s">
        <v>78</v>
      </c>
      <c r="Y116" s="19"/>
      <c r="Z116" s="19"/>
      <c r="AA116" s="19"/>
      <c r="AB116" s="19"/>
      <c r="AD116" s="18" t="s">
        <v>563</v>
      </c>
      <c r="AE116" s="18">
        <v>3</v>
      </c>
      <c r="AF116" s="19" t="s">
        <v>19</v>
      </c>
      <c r="AG116" s="19" t="s">
        <v>110</v>
      </c>
      <c r="AH116" s="18"/>
      <c r="AI116" s="18"/>
      <c r="AJ116" s="18"/>
      <c r="AK116" s="18"/>
      <c r="AM116" s="18" t="s">
        <v>129</v>
      </c>
      <c r="AN116" s="18">
        <v>3</v>
      </c>
      <c r="AO116" s="19" t="s">
        <v>567</v>
      </c>
      <c r="AP116" s="19" t="s">
        <v>41</v>
      </c>
      <c r="AQ116" s="18"/>
      <c r="AR116" s="18"/>
      <c r="AT116" s="18" t="s">
        <v>565</v>
      </c>
      <c r="AU116" s="18">
        <v>3</v>
      </c>
      <c r="AV116" s="19" t="s">
        <v>550</v>
      </c>
      <c r="AW116" s="19" t="s">
        <v>721</v>
      </c>
      <c r="AX116" s="18"/>
      <c r="AY116" s="18"/>
      <c r="BA116" s="18" t="s">
        <v>281</v>
      </c>
      <c r="BB116" s="18">
        <v>3</v>
      </c>
      <c r="BC116" s="19" t="s">
        <v>144</v>
      </c>
      <c r="BD116" s="19" t="s">
        <v>57</v>
      </c>
      <c r="BE116" s="19"/>
      <c r="BF116" s="19"/>
      <c r="BH116" s="18" t="s">
        <v>128</v>
      </c>
      <c r="BI116" s="18">
        <v>3</v>
      </c>
      <c r="BJ116" s="19" t="s">
        <v>14</v>
      </c>
      <c r="BK116" s="19" t="s">
        <v>596</v>
      </c>
      <c r="BL116" s="19" t="s">
        <v>60</v>
      </c>
      <c r="BM116" s="19"/>
      <c r="BN116" s="19"/>
      <c r="BO116" s="19"/>
      <c r="BQ116" s="18" t="s">
        <v>563</v>
      </c>
      <c r="BR116" s="18">
        <v>3</v>
      </c>
      <c r="BS116" s="19" t="s">
        <v>584</v>
      </c>
      <c r="BT116" s="19" t="s">
        <v>50</v>
      </c>
      <c r="BU116" s="18"/>
      <c r="BV116" s="18"/>
      <c r="BX116" s="18" t="s">
        <v>128</v>
      </c>
      <c r="BY116" s="18">
        <v>3</v>
      </c>
      <c r="BZ116" s="19" t="s">
        <v>13</v>
      </c>
      <c r="CA116" s="19" t="s">
        <v>263</v>
      </c>
      <c r="CB116" s="18"/>
      <c r="CC116" s="18"/>
      <c r="CD116" s="18"/>
      <c r="CE116" s="18"/>
      <c r="CF116" s="18"/>
      <c r="CH116" s="18"/>
      <c r="CI116" s="18">
        <v>3</v>
      </c>
      <c r="CJ116" s="19"/>
      <c r="CK116" s="19"/>
      <c r="CL116" s="18"/>
      <c r="CM116" s="18"/>
      <c r="CO116" s="42"/>
      <c r="CP116" s="42">
        <v>3</v>
      </c>
      <c r="CQ116" s="45"/>
      <c r="CR116" s="45"/>
      <c r="CS116" s="45"/>
      <c r="CT116" s="45"/>
    </row>
    <row r="117" spans="1:98">
      <c r="A117" s="18"/>
      <c r="B117" s="18"/>
      <c r="C117" s="19">
        <v>-1</v>
      </c>
      <c r="D117" s="19">
        <v>1</v>
      </c>
      <c r="E117" s="19"/>
      <c r="F117" s="18"/>
      <c r="G117" s="18"/>
      <c r="H117" s="18"/>
      <c r="I117" s="18"/>
      <c r="J117" s="18"/>
      <c r="L117" s="18"/>
      <c r="M117" s="18"/>
      <c r="N117" s="19">
        <v>0</v>
      </c>
      <c r="O117" s="19">
        <v>1</v>
      </c>
      <c r="P117" s="19"/>
      <c r="Q117" s="18"/>
      <c r="R117" s="18"/>
      <c r="S117" s="18"/>
      <c r="U117" s="18" t="s">
        <v>744</v>
      </c>
      <c r="V117" s="18"/>
      <c r="W117" s="19">
        <v>5</v>
      </c>
      <c r="X117" s="19">
        <v>-5</v>
      </c>
      <c r="Y117" s="19"/>
      <c r="Z117" s="19"/>
      <c r="AA117" s="19"/>
      <c r="AB117" s="19"/>
      <c r="AD117" s="18"/>
      <c r="AE117" s="18"/>
      <c r="AF117" s="19">
        <v>0</v>
      </c>
      <c r="AG117" s="19">
        <v>1</v>
      </c>
      <c r="AH117" s="19"/>
      <c r="AI117" s="18"/>
      <c r="AJ117" s="18"/>
      <c r="AK117" s="18"/>
      <c r="AM117" s="18" t="s">
        <v>736</v>
      </c>
      <c r="AN117" s="18"/>
      <c r="AO117" s="19">
        <v>3</v>
      </c>
      <c r="AP117" s="19">
        <v>-2</v>
      </c>
      <c r="AQ117" s="19"/>
      <c r="AR117" s="18"/>
      <c r="AT117" s="18"/>
      <c r="AU117" s="18"/>
      <c r="AV117" s="19">
        <v>0</v>
      </c>
      <c r="AW117" s="19">
        <v>0</v>
      </c>
      <c r="AX117" s="19"/>
      <c r="AY117" s="18"/>
      <c r="BA117" s="18"/>
      <c r="BB117" s="18"/>
      <c r="BC117" s="19">
        <v>1</v>
      </c>
      <c r="BD117" s="19">
        <v>0</v>
      </c>
      <c r="BE117" s="19"/>
      <c r="BF117" s="19"/>
      <c r="BH117" s="18"/>
      <c r="BI117" s="18"/>
      <c r="BJ117" s="19">
        <v>0</v>
      </c>
      <c r="BK117" s="19">
        <v>0</v>
      </c>
      <c r="BL117" s="19">
        <v>0</v>
      </c>
      <c r="BM117" s="19"/>
      <c r="BN117" s="19"/>
      <c r="BO117" s="19"/>
      <c r="BQ117" s="18"/>
      <c r="BR117" s="18"/>
      <c r="BS117" s="19">
        <v>2</v>
      </c>
      <c r="BT117" s="19">
        <v>0</v>
      </c>
      <c r="BU117" s="19"/>
      <c r="BV117" s="18"/>
      <c r="BX117" s="18"/>
      <c r="BY117" s="18"/>
      <c r="BZ117" s="19">
        <v>-1</v>
      </c>
      <c r="CA117" s="19">
        <v>1</v>
      </c>
      <c r="CB117" s="19"/>
      <c r="CC117" s="18"/>
      <c r="CD117" s="18"/>
      <c r="CE117" s="18"/>
      <c r="CF117" s="18"/>
      <c r="CH117" s="18"/>
      <c r="CI117" s="18"/>
      <c r="CJ117" s="19"/>
      <c r="CK117" s="19"/>
      <c r="CL117" s="19"/>
      <c r="CM117" s="18"/>
      <c r="CO117" s="42"/>
      <c r="CP117" s="42"/>
      <c r="CQ117" s="45"/>
      <c r="CR117" s="45"/>
      <c r="CS117" s="45"/>
      <c r="CT117" s="45"/>
    </row>
    <row r="118" spans="1:98">
      <c r="A118" s="18" t="s">
        <v>564</v>
      </c>
      <c r="B118" s="18">
        <v>4</v>
      </c>
      <c r="C118" s="19" t="s">
        <v>547</v>
      </c>
      <c r="D118" s="25" t="s">
        <v>110</v>
      </c>
      <c r="E118" s="19" t="s">
        <v>58</v>
      </c>
      <c r="F118" s="19" t="s">
        <v>9</v>
      </c>
      <c r="G118" s="18"/>
      <c r="H118" s="18"/>
      <c r="I118" s="18"/>
      <c r="J118" s="18"/>
      <c r="L118" s="18" t="s">
        <v>563</v>
      </c>
      <c r="M118" s="18">
        <v>4</v>
      </c>
      <c r="N118" s="19" t="s">
        <v>7</v>
      </c>
      <c r="O118" s="19" t="s">
        <v>574</v>
      </c>
      <c r="P118" s="19"/>
      <c r="Q118" s="18"/>
      <c r="R118" s="18"/>
      <c r="S118" s="18"/>
      <c r="U118" s="18" t="s">
        <v>130</v>
      </c>
      <c r="V118" s="18">
        <v>3</v>
      </c>
      <c r="W118" s="19" t="s">
        <v>14</v>
      </c>
      <c r="X118" s="19" t="s">
        <v>156</v>
      </c>
      <c r="Y118" s="19"/>
      <c r="Z118" s="19"/>
      <c r="AA118" s="19"/>
      <c r="AB118" s="19"/>
      <c r="AD118" s="18" t="s">
        <v>129</v>
      </c>
      <c r="AE118" s="18">
        <v>4</v>
      </c>
      <c r="AF118" s="19" t="s">
        <v>567</v>
      </c>
      <c r="AG118" s="19" t="s">
        <v>50</v>
      </c>
      <c r="AH118" s="19"/>
      <c r="AI118" s="18"/>
      <c r="AJ118" s="18"/>
      <c r="AK118" s="18"/>
      <c r="AM118" s="18" t="s">
        <v>128</v>
      </c>
      <c r="AN118" s="18">
        <v>4</v>
      </c>
      <c r="AO118" s="19" t="s">
        <v>558</v>
      </c>
      <c r="AP118" s="19" t="s">
        <v>76</v>
      </c>
      <c r="AQ118" s="19"/>
      <c r="AR118" s="18"/>
      <c r="AT118" s="18" t="s">
        <v>130</v>
      </c>
      <c r="AU118" s="18">
        <v>4</v>
      </c>
      <c r="AV118" s="19" t="s">
        <v>156</v>
      </c>
      <c r="AW118" s="19" t="s">
        <v>13</v>
      </c>
      <c r="AX118" s="19"/>
      <c r="AY118" s="18"/>
      <c r="BA118" s="18" t="s">
        <v>282</v>
      </c>
      <c r="BB118" s="18">
        <v>4</v>
      </c>
      <c r="BC118" s="19" t="s">
        <v>70</v>
      </c>
      <c r="BD118" s="19" t="s">
        <v>445</v>
      </c>
      <c r="BE118" s="19"/>
      <c r="BF118" s="19"/>
      <c r="BH118" s="18" t="s">
        <v>132</v>
      </c>
      <c r="BI118" s="18">
        <v>4</v>
      </c>
      <c r="BJ118" s="19" t="s">
        <v>166</v>
      </c>
      <c r="BK118" s="19" t="s">
        <v>17</v>
      </c>
      <c r="BL118" s="19" t="s">
        <v>1</v>
      </c>
      <c r="BM118" s="19"/>
      <c r="BN118" s="19"/>
      <c r="BO118" s="19"/>
      <c r="BQ118" s="18" t="s">
        <v>130</v>
      </c>
      <c r="BR118" s="18">
        <v>4</v>
      </c>
      <c r="BS118" s="19" t="s">
        <v>70</v>
      </c>
      <c r="BT118" s="19" t="s">
        <v>60</v>
      </c>
      <c r="BU118" s="19"/>
      <c r="BV118" s="18"/>
      <c r="BX118" s="18" t="s">
        <v>132</v>
      </c>
      <c r="BY118" s="18">
        <v>4</v>
      </c>
      <c r="BZ118" s="19" t="s">
        <v>1</v>
      </c>
      <c r="CA118" s="19" t="s">
        <v>81</v>
      </c>
      <c r="CB118" s="19"/>
      <c r="CC118" s="18"/>
      <c r="CD118" s="18"/>
      <c r="CE118" s="18"/>
      <c r="CF118" s="18"/>
      <c r="CH118" s="18"/>
      <c r="CI118" s="18">
        <v>4</v>
      </c>
      <c r="CJ118" s="19"/>
      <c r="CK118" s="19"/>
      <c r="CL118" s="19"/>
      <c r="CM118" s="18"/>
      <c r="CO118" s="42"/>
      <c r="CP118" s="42">
        <v>4</v>
      </c>
      <c r="CQ118" s="45"/>
      <c r="CR118" s="45"/>
      <c r="CS118" s="45"/>
      <c r="CT118" s="45"/>
    </row>
    <row r="119" spans="1:98">
      <c r="A119" s="18"/>
      <c r="B119" s="18"/>
      <c r="C119" s="19">
        <v>2</v>
      </c>
      <c r="D119" s="19">
        <v>2</v>
      </c>
      <c r="E119" s="26">
        <v>0</v>
      </c>
      <c r="F119" s="19">
        <v>0</v>
      </c>
      <c r="G119" s="18"/>
      <c r="H119" s="18"/>
      <c r="I119" s="18"/>
      <c r="J119" s="18"/>
      <c r="L119" s="18"/>
      <c r="M119" s="18"/>
      <c r="N119" s="19">
        <v>0</v>
      </c>
      <c r="O119" s="19">
        <v>2</v>
      </c>
      <c r="P119" s="26"/>
      <c r="Q119" s="18"/>
      <c r="R119" s="18"/>
      <c r="S119" s="18"/>
      <c r="U119" s="18"/>
      <c r="V119" s="18"/>
      <c r="W119" s="19">
        <v>0</v>
      </c>
      <c r="X119" s="19">
        <v>1</v>
      </c>
      <c r="Y119" s="19"/>
      <c r="Z119" s="19"/>
      <c r="AA119" s="19"/>
      <c r="AB119" s="19"/>
      <c r="AD119" s="18" t="s">
        <v>729</v>
      </c>
      <c r="AE119" s="18"/>
      <c r="AF119" s="19">
        <v>1</v>
      </c>
      <c r="AG119" s="19">
        <v>-1</v>
      </c>
      <c r="AH119" s="26"/>
      <c r="AI119" s="18"/>
      <c r="AJ119" s="18"/>
      <c r="AK119" s="18"/>
      <c r="AM119" s="124"/>
      <c r="AN119" s="18"/>
      <c r="AO119" s="19">
        <v>0</v>
      </c>
      <c r="AP119" s="19">
        <v>0</v>
      </c>
      <c r="AQ119" s="26"/>
      <c r="AR119" s="18"/>
      <c r="AT119" s="18"/>
      <c r="AU119" s="18"/>
      <c r="AV119" s="19">
        <v>1</v>
      </c>
      <c r="AW119" s="19">
        <v>0</v>
      </c>
      <c r="AX119" s="26"/>
      <c r="AY119" s="18"/>
      <c r="BA119" s="18"/>
      <c r="BB119" s="18"/>
      <c r="BC119" s="19">
        <v>1</v>
      </c>
      <c r="BD119" s="19">
        <v>0</v>
      </c>
      <c r="BE119" s="19"/>
      <c r="BF119" s="19"/>
      <c r="BH119" s="18"/>
      <c r="BI119" s="18"/>
      <c r="BJ119" s="19">
        <v>1</v>
      </c>
      <c r="BK119" s="19">
        <v>0</v>
      </c>
      <c r="BL119" s="26">
        <v>0</v>
      </c>
      <c r="BM119" s="26"/>
      <c r="BN119" s="26"/>
      <c r="BO119" s="19"/>
      <c r="BQ119" s="18"/>
      <c r="BR119" s="18"/>
      <c r="BS119" s="19">
        <v>1</v>
      </c>
      <c r="BT119" s="19">
        <v>0</v>
      </c>
      <c r="BU119" s="26"/>
      <c r="BV119" s="18"/>
      <c r="BX119" s="18"/>
      <c r="BY119" s="18"/>
      <c r="BZ119" s="129">
        <v>0</v>
      </c>
      <c r="CA119" s="129">
        <v>1</v>
      </c>
      <c r="CB119" s="26"/>
      <c r="CC119" s="18"/>
      <c r="CD119" s="18"/>
      <c r="CE119" s="18"/>
      <c r="CF119" s="18"/>
      <c r="CH119" s="18"/>
      <c r="CI119" s="18"/>
      <c r="CJ119" s="19"/>
      <c r="CK119" s="19"/>
      <c r="CL119" s="26"/>
      <c r="CM119" s="18"/>
      <c r="CO119" s="42"/>
      <c r="CP119" s="42"/>
      <c r="CQ119" s="45"/>
      <c r="CR119" s="45"/>
      <c r="CS119" s="45"/>
      <c r="CT119" s="45"/>
    </row>
    <row r="120" spans="1:98">
      <c r="A120" s="18" t="s">
        <v>128</v>
      </c>
      <c r="B120" s="18">
        <v>5</v>
      </c>
      <c r="C120" s="19" t="s">
        <v>13</v>
      </c>
      <c r="D120" s="19" t="s">
        <v>144</v>
      </c>
      <c r="E120" s="19"/>
      <c r="F120" s="18"/>
      <c r="G120" s="18"/>
      <c r="H120" s="18"/>
      <c r="I120" s="18"/>
      <c r="J120" s="18"/>
      <c r="L120" s="18" t="s">
        <v>129</v>
      </c>
      <c r="M120" s="18">
        <v>5</v>
      </c>
      <c r="N120" s="19" t="s">
        <v>24</v>
      </c>
      <c r="O120" s="19" t="s">
        <v>567</v>
      </c>
      <c r="P120" s="19"/>
      <c r="Q120" s="18"/>
      <c r="R120" s="18"/>
      <c r="S120" s="18"/>
      <c r="U120" s="18" t="s">
        <v>129</v>
      </c>
      <c r="V120" s="18">
        <v>4</v>
      </c>
      <c r="W120" s="19" t="s">
        <v>567</v>
      </c>
      <c r="X120" s="19" t="s">
        <v>24</v>
      </c>
      <c r="Y120" s="19"/>
      <c r="Z120" s="19"/>
      <c r="AA120" s="19"/>
      <c r="AB120" s="19"/>
      <c r="AD120" s="18" t="s">
        <v>130</v>
      </c>
      <c r="AE120" s="18">
        <v>5</v>
      </c>
      <c r="AF120" s="19" t="s">
        <v>156</v>
      </c>
      <c r="AG120" s="19" t="s">
        <v>22</v>
      </c>
      <c r="AH120" s="19"/>
      <c r="AI120" s="18"/>
      <c r="AJ120" s="18"/>
      <c r="AK120" s="18"/>
      <c r="AM120" s="18" t="s">
        <v>565</v>
      </c>
      <c r="AN120" s="18">
        <v>5</v>
      </c>
      <c r="AO120" s="19" t="s">
        <v>550</v>
      </c>
      <c r="AP120" s="19" t="s">
        <v>12</v>
      </c>
      <c r="AQ120" s="19"/>
      <c r="AR120" s="18"/>
      <c r="AT120" s="18" t="s">
        <v>129</v>
      </c>
      <c r="AU120" s="18">
        <v>5</v>
      </c>
      <c r="AV120" s="19" t="s">
        <v>567</v>
      </c>
      <c r="AW120" s="19" t="s">
        <v>1</v>
      </c>
      <c r="AX120" s="19"/>
      <c r="AY120" s="18"/>
      <c r="BA120" s="18" t="s">
        <v>283</v>
      </c>
      <c r="BB120" s="18">
        <v>5</v>
      </c>
      <c r="BC120" s="19" t="s">
        <v>112</v>
      </c>
      <c r="BD120" s="19" t="s">
        <v>54</v>
      </c>
      <c r="BE120" s="19"/>
      <c r="BF120" s="19"/>
      <c r="BH120" s="18" t="s">
        <v>565</v>
      </c>
      <c r="BI120" s="18">
        <v>5</v>
      </c>
      <c r="BJ120" s="19" t="s">
        <v>5</v>
      </c>
      <c r="BK120" s="19" t="s">
        <v>55</v>
      </c>
      <c r="BL120" s="19" t="s">
        <v>894</v>
      </c>
      <c r="BM120" s="19"/>
      <c r="BN120" s="19"/>
      <c r="BO120" s="19"/>
      <c r="BQ120" s="18" t="s">
        <v>132</v>
      </c>
      <c r="BR120" s="18">
        <v>5</v>
      </c>
      <c r="BS120" s="19" t="s">
        <v>52</v>
      </c>
      <c r="BT120" s="19" t="s">
        <v>577</v>
      </c>
      <c r="BU120" s="19"/>
      <c r="BV120" s="18"/>
      <c r="BX120" s="18" t="s">
        <v>129</v>
      </c>
      <c r="BY120" s="18">
        <v>5</v>
      </c>
      <c r="BZ120" s="19" t="s">
        <v>567</v>
      </c>
      <c r="CA120" s="19" t="s">
        <v>41</v>
      </c>
      <c r="CB120" s="19"/>
      <c r="CC120" s="18"/>
      <c r="CD120" s="18"/>
      <c r="CE120" s="18"/>
      <c r="CF120" s="18"/>
      <c r="CH120" s="18"/>
      <c r="CI120" s="18">
        <v>5</v>
      </c>
      <c r="CJ120" s="19"/>
      <c r="CK120" s="19"/>
      <c r="CL120" s="19"/>
      <c r="CM120" s="18"/>
      <c r="CO120" s="42"/>
      <c r="CP120" s="42">
        <v>5</v>
      </c>
      <c r="CQ120" s="45"/>
      <c r="CR120" s="45"/>
      <c r="CS120" s="45"/>
      <c r="CT120" s="45"/>
    </row>
    <row r="121" spans="1:98">
      <c r="A121" s="18"/>
      <c r="B121" s="18"/>
      <c r="C121" s="19">
        <v>0</v>
      </c>
      <c r="D121" s="19">
        <v>2</v>
      </c>
      <c r="E121" s="19"/>
      <c r="F121" s="18"/>
      <c r="G121" s="18"/>
      <c r="H121" s="18"/>
      <c r="I121" s="18"/>
      <c r="J121" s="18"/>
      <c r="L121" s="18" t="s">
        <v>736</v>
      </c>
      <c r="M121" s="18"/>
      <c r="N121" s="19">
        <v>-1</v>
      </c>
      <c r="O121" s="19">
        <v>1</v>
      </c>
      <c r="P121" s="19"/>
      <c r="Q121" s="18"/>
      <c r="R121" s="18"/>
      <c r="S121" s="18"/>
      <c r="U121" s="18" t="s">
        <v>674</v>
      </c>
      <c r="V121" s="18"/>
      <c r="W121" s="19">
        <v>2</v>
      </c>
      <c r="X121" s="19">
        <v>0</v>
      </c>
      <c r="Y121" s="26"/>
      <c r="Z121" s="26"/>
      <c r="AA121" s="26"/>
      <c r="AB121" s="19"/>
      <c r="AD121" s="18"/>
      <c r="AE121" s="18"/>
      <c r="AF121" s="19">
        <v>1</v>
      </c>
      <c r="AG121" s="19">
        <v>0</v>
      </c>
      <c r="AH121" s="19"/>
      <c r="AI121" s="18"/>
      <c r="AJ121" s="18"/>
      <c r="AK121" s="18"/>
      <c r="AM121" s="18"/>
      <c r="AN121" s="18"/>
      <c r="AO121" s="19">
        <v>1</v>
      </c>
      <c r="AP121" s="19">
        <v>-1</v>
      </c>
      <c r="AQ121" s="19"/>
      <c r="AR121" s="18"/>
      <c r="AT121" s="18" t="s">
        <v>353</v>
      </c>
      <c r="AU121" s="18"/>
      <c r="AV121" s="19">
        <v>2</v>
      </c>
      <c r="AW121" s="19">
        <v>0</v>
      </c>
      <c r="AX121" s="19"/>
      <c r="AY121" s="18"/>
      <c r="BA121" s="18"/>
      <c r="BB121" s="18"/>
      <c r="BC121" s="19">
        <v>1</v>
      </c>
      <c r="BD121" s="19">
        <v>0</v>
      </c>
      <c r="BE121" s="19"/>
      <c r="BF121" s="19"/>
      <c r="BH121" s="18"/>
      <c r="BI121" s="18"/>
      <c r="BJ121" s="19">
        <v>0</v>
      </c>
      <c r="BK121" s="19">
        <v>-1</v>
      </c>
      <c r="BL121" s="19">
        <v>1</v>
      </c>
      <c r="BM121" s="19"/>
      <c r="BN121" s="19"/>
      <c r="BO121" s="19"/>
      <c r="BQ121" s="18"/>
      <c r="BR121" s="18"/>
      <c r="BS121" s="19">
        <v>0</v>
      </c>
      <c r="BT121" s="19">
        <v>2</v>
      </c>
      <c r="BU121" s="19"/>
      <c r="BV121" s="18"/>
      <c r="BX121" s="18" t="s">
        <v>266</v>
      </c>
      <c r="BY121" s="18"/>
      <c r="BZ121" s="19">
        <v>2</v>
      </c>
      <c r="CA121" s="19">
        <v>0</v>
      </c>
      <c r="CB121" s="19"/>
      <c r="CC121" s="18"/>
      <c r="CD121" s="18"/>
      <c r="CE121" s="18"/>
      <c r="CF121" s="18"/>
      <c r="CH121" s="18"/>
      <c r="CI121" s="18"/>
      <c r="CJ121" s="19"/>
      <c r="CK121" s="19"/>
      <c r="CL121" s="19"/>
      <c r="CM121" s="18"/>
      <c r="CO121" s="42"/>
      <c r="CP121" s="42"/>
      <c r="CQ121" s="45"/>
      <c r="CR121" s="45"/>
      <c r="CS121" s="45"/>
      <c r="CT121" s="45"/>
    </row>
    <row r="122" spans="1:98">
      <c r="A122" s="18" t="s">
        <v>132</v>
      </c>
      <c r="B122" s="18">
        <v>6</v>
      </c>
      <c r="C122" s="19" t="s">
        <v>588</v>
      </c>
      <c r="D122" s="19" t="s">
        <v>37</v>
      </c>
      <c r="E122" s="18"/>
      <c r="F122" s="18"/>
      <c r="G122" s="18"/>
      <c r="H122" s="18"/>
      <c r="I122" s="18"/>
      <c r="J122" s="18"/>
      <c r="L122" s="18" t="s">
        <v>731</v>
      </c>
      <c r="M122" s="18">
        <v>6</v>
      </c>
      <c r="N122" s="19" t="s">
        <v>54</v>
      </c>
      <c r="O122" s="19" t="s">
        <v>558</v>
      </c>
      <c r="P122" s="18"/>
      <c r="Q122" s="18"/>
      <c r="R122" s="18"/>
      <c r="S122" s="18"/>
      <c r="U122" s="18" t="s">
        <v>563</v>
      </c>
      <c r="V122" s="18">
        <v>5</v>
      </c>
      <c r="W122" s="19" t="s">
        <v>574</v>
      </c>
      <c r="X122" s="19" t="s">
        <v>65</v>
      </c>
      <c r="Y122" s="19"/>
      <c r="Z122" s="19"/>
      <c r="AA122" s="19"/>
      <c r="AB122" s="19"/>
      <c r="AD122" s="18" t="s">
        <v>565</v>
      </c>
      <c r="AE122" s="18">
        <v>6</v>
      </c>
      <c r="AF122" s="19" t="s">
        <v>12</v>
      </c>
      <c r="AG122" s="19" t="s">
        <v>550</v>
      </c>
      <c r="AH122" s="18"/>
      <c r="AI122" s="18"/>
      <c r="AJ122" s="18"/>
      <c r="AK122" s="18"/>
      <c r="AM122" s="18" t="s">
        <v>132</v>
      </c>
      <c r="AN122" s="18">
        <v>6</v>
      </c>
      <c r="AO122" s="19" t="s">
        <v>546</v>
      </c>
      <c r="AP122" s="19" t="s">
        <v>77</v>
      </c>
      <c r="AQ122" s="18"/>
      <c r="AR122" s="18"/>
      <c r="AT122" s="18" t="s">
        <v>563</v>
      </c>
      <c r="AU122" s="18">
        <v>6</v>
      </c>
      <c r="AV122" s="19" t="s">
        <v>19</v>
      </c>
      <c r="AW122" s="19" t="s">
        <v>584</v>
      </c>
      <c r="AX122" s="18"/>
      <c r="AY122" s="18"/>
      <c r="BA122" s="18" t="s">
        <v>284</v>
      </c>
      <c r="BB122" s="18">
        <v>6</v>
      </c>
      <c r="BC122" s="19" t="s">
        <v>150</v>
      </c>
      <c r="BD122" s="19" t="s">
        <v>76</v>
      </c>
      <c r="BE122" s="19"/>
      <c r="BF122" s="19"/>
      <c r="BH122" s="18" t="s">
        <v>130</v>
      </c>
      <c r="BI122" s="18">
        <v>6</v>
      </c>
      <c r="BJ122" s="19" t="s">
        <v>51</v>
      </c>
      <c r="BK122" s="19" t="s">
        <v>38</v>
      </c>
      <c r="BL122" s="19" t="s">
        <v>70</v>
      </c>
      <c r="BM122" s="19"/>
      <c r="BN122" s="19"/>
      <c r="BO122" s="19"/>
      <c r="BQ122" s="18" t="s">
        <v>565</v>
      </c>
      <c r="BR122" s="18">
        <v>6</v>
      </c>
      <c r="BS122" s="19" t="s">
        <v>894</v>
      </c>
      <c r="BT122" s="19" t="s">
        <v>5</v>
      </c>
      <c r="BU122" s="18"/>
      <c r="BV122" s="18"/>
      <c r="BX122" s="18" t="s">
        <v>130</v>
      </c>
      <c r="BY122" s="18">
        <v>6</v>
      </c>
      <c r="BZ122" s="19" t="s">
        <v>70</v>
      </c>
      <c r="CA122" s="19" t="s">
        <v>76</v>
      </c>
      <c r="CB122" s="18"/>
      <c r="CC122" s="18"/>
      <c r="CD122" s="18"/>
      <c r="CE122" s="18"/>
      <c r="CF122" s="18"/>
      <c r="CH122" s="18"/>
      <c r="CI122" s="18">
        <v>6</v>
      </c>
      <c r="CJ122" s="19"/>
      <c r="CK122" s="19"/>
      <c r="CL122" s="18"/>
      <c r="CM122" s="18"/>
      <c r="CO122" s="42"/>
      <c r="CP122" s="42">
        <v>6</v>
      </c>
      <c r="CQ122" s="72"/>
      <c r="CR122" s="45"/>
      <c r="CS122" s="45"/>
      <c r="CT122" s="45"/>
    </row>
    <row r="123" spans="1:98">
      <c r="A123" s="18" t="s">
        <v>612</v>
      </c>
      <c r="B123" s="18"/>
      <c r="C123" s="19">
        <v>1</v>
      </c>
      <c r="D123" s="19">
        <v>0</v>
      </c>
      <c r="E123" s="18"/>
      <c r="F123" s="18"/>
      <c r="G123" s="18"/>
      <c r="H123" s="18"/>
      <c r="I123" s="18"/>
      <c r="J123" s="18"/>
      <c r="L123" s="18"/>
      <c r="M123" s="18"/>
      <c r="N123" s="19">
        <v>0</v>
      </c>
      <c r="O123" s="19">
        <v>2</v>
      </c>
      <c r="P123" s="18"/>
      <c r="Q123" s="18"/>
      <c r="R123" s="18"/>
      <c r="S123" s="18"/>
      <c r="U123" s="18"/>
      <c r="V123" s="18"/>
      <c r="W123" s="19">
        <v>2</v>
      </c>
      <c r="X123" s="19">
        <v>0</v>
      </c>
      <c r="Y123" s="19"/>
      <c r="Z123" s="19"/>
      <c r="AA123" s="19"/>
      <c r="AB123" s="19"/>
      <c r="AD123" s="18"/>
      <c r="AE123" s="18"/>
      <c r="AF123" s="19">
        <v>-1</v>
      </c>
      <c r="AG123" s="19">
        <v>1</v>
      </c>
      <c r="AH123" s="18"/>
      <c r="AI123" s="18"/>
      <c r="AJ123" s="18"/>
      <c r="AK123" s="18"/>
      <c r="AM123" s="18"/>
      <c r="AN123" s="18"/>
      <c r="AO123" s="19">
        <v>1</v>
      </c>
      <c r="AP123" s="19">
        <v>0</v>
      </c>
      <c r="AQ123" s="18"/>
      <c r="AR123" s="18"/>
      <c r="AT123" s="18"/>
      <c r="AU123" s="18"/>
      <c r="AV123" s="19">
        <v>0</v>
      </c>
      <c r="AW123" s="19">
        <v>1</v>
      </c>
      <c r="AX123" s="18"/>
      <c r="AY123" s="18"/>
      <c r="BA123" s="18"/>
      <c r="BB123" s="18"/>
      <c r="BC123" s="19">
        <v>1</v>
      </c>
      <c r="BD123" s="19">
        <v>0</v>
      </c>
      <c r="BE123" s="19"/>
      <c r="BF123" s="19"/>
      <c r="BH123" s="18" t="s">
        <v>798</v>
      </c>
      <c r="BI123" s="18"/>
      <c r="BJ123" s="19">
        <v>0</v>
      </c>
      <c r="BK123" s="19">
        <v>0</v>
      </c>
      <c r="BL123" s="19">
        <v>1</v>
      </c>
      <c r="BM123" s="19"/>
      <c r="BN123" s="19"/>
      <c r="BO123" s="19"/>
      <c r="BQ123" s="18"/>
      <c r="BR123" s="18"/>
      <c r="BS123" s="19">
        <v>1</v>
      </c>
      <c r="BT123" s="19">
        <v>-1</v>
      </c>
      <c r="BU123" s="18"/>
      <c r="BV123" s="18"/>
      <c r="BX123" s="18"/>
      <c r="BY123" s="18"/>
      <c r="BZ123" s="19">
        <v>2</v>
      </c>
      <c r="CA123" s="19">
        <v>0</v>
      </c>
      <c r="CB123" s="18"/>
      <c r="CC123" s="18"/>
      <c r="CD123" s="18"/>
      <c r="CE123" s="18"/>
      <c r="CF123" s="18"/>
      <c r="CH123" s="18"/>
      <c r="CI123" s="18"/>
      <c r="CJ123" s="19"/>
      <c r="CK123" s="19"/>
      <c r="CL123" s="18"/>
      <c r="CM123" s="18"/>
      <c r="CO123" s="46"/>
      <c r="CP123" s="42"/>
      <c r="CQ123" s="45"/>
      <c r="CR123" s="45"/>
      <c r="CS123" s="45"/>
      <c r="CT123" s="45"/>
    </row>
    <row r="124" spans="1:98">
      <c r="A124" s="18" t="s">
        <v>724</v>
      </c>
      <c r="B124" s="18">
        <v>7</v>
      </c>
      <c r="C124" s="19" t="s">
        <v>290</v>
      </c>
      <c r="D124" s="19" t="s">
        <v>551</v>
      </c>
      <c r="E124" s="19"/>
      <c r="F124" s="18"/>
      <c r="G124" s="18"/>
      <c r="H124" s="18"/>
      <c r="I124" s="18"/>
      <c r="J124" s="18"/>
      <c r="L124" s="18" t="s">
        <v>564</v>
      </c>
      <c r="M124" s="18">
        <v>7</v>
      </c>
      <c r="N124" s="19" t="s">
        <v>77</v>
      </c>
      <c r="O124" s="25" t="s">
        <v>66</v>
      </c>
      <c r="P124" s="19" t="s">
        <v>545</v>
      </c>
      <c r="Q124" s="19" t="s">
        <v>560</v>
      </c>
      <c r="R124" s="18"/>
      <c r="S124" s="18"/>
      <c r="U124" s="18" t="s">
        <v>128</v>
      </c>
      <c r="V124" s="18">
        <v>6</v>
      </c>
      <c r="W124" s="19" t="s">
        <v>13</v>
      </c>
      <c r="X124" s="19" t="s">
        <v>49</v>
      </c>
      <c r="Y124" s="19" t="s">
        <v>568</v>
      </c>
      <c r="Z124" s="19"/>
      <c r="AA124" s="19"/>
      <c r="AB124" s="19"/>
      <c r="AD124" s="18" t="s">
        <v>564</v>
      </c>
      <c r="AE124" s="18">
        <v>7</v>
      </c>
      <c r="AF124" s="19" t="s">
        <v>545</v>
      </c>
      <c r="AG124" s="25" t="s">
        <v>560</v>
      </c>
      <c r="AH124" s="19" t="s">
        <v>36</v>
      </c>
      <c r="AI124" s="19" t="s">
        <v>54</v>
      </c>
      <c r="AJ124" s="18"/>
      <c r="AK124" s="18"/>
      <c r="AM124" s="18" t="s">
        <v>564</v>
      </c>
      <c r="AN124" s="18">
        <v>7</v>
      </c>
      <c r="AO124" s="19" t="s">
        <v>545</v>
      </c>
      <c r="AP124" s="25" t="s">
        <v>560</v>
      </c>
      <c r="AQ124" s="19" t="s">
        <v>50</v>
      </c>
      <c r="AR124" s="19" t="s">
        <v>11</v>
      </c>
      <c r="AT124" s="18" t="s">
        <v>564</v>
      </c>
      <c r="AU124" s="18">
        <v>7</v>
      </c>
      <c r="AV124" s="19" t="s">
        <v>545</v>
      </c>
      <c r="AW124" s="25" t="s">
        <v>560</v>
      </c>
      <c r="AX124" s="19" t="s">
        <v>37</v>
      </c>
      <c r="AY124" s="19" t="s">
        <v>82</v>
      </c>
      <c r="BA124" s="18" t="s">
        <v>285</v>
      </c>
      <c r="BB124" s="18">
        <v>7</v>
      </c>
      <c r="BC124" s="19" t="s">
        <v>124</v>
      </c>
      <c r="BD124" s="19" t="s">
        <v>13</v>
      </c>
      <c r="BE124" s="19"/>
      <c r="BF124" s="19"/>
      <c r="BH124" s="18" t="s">
        <v>564</v>
      </c>
      <c r="BI124" s="18">
        <v>7</v>
      </c>
      <c r="BJ124" s="19" t="s">
        <v>545</v>
      </c>
      <c r="BK124" s="25" t="s">
        <v>560</v>
      </c>
      <c r="BL124" s="19" t="s">
        <v>76</v>
      </c>
      <c r="BM124" s="25" t="s">
        <v>542</v>
      </c>
      <c r="BN124" s="19" t="s">
        <v>58</v>
      </c>
      <c r="BO124" s="19" t="s">
        <v>43</v>
      </c>
      <c r="BQ124" s="18" t="s">
        <v>564</v>
      </c>
      <c r="BR124" s="18">
        <v>7</v>
      </c>
      <c r="BS124" s="19" t="s">
        <v>545</v>
      </c>
      <c r="BT124" s="25" t="s">
        <v>560</v>
      </c>
      <c r="BU124" s="19" t="s">
        <v>58</v>
      </c>
      <c r="BV124" s="19" t="s">
        <v>43</v>
      </c>
      <c r="BX124" s="18" t="s">
        <v>564</v>
      </c>
      <c r="BY124" s="18">
        <v>7</v>
      </c>
      <c r="BZ124" s="19" t="s">
        <v>545</v>
      </c>
      <c r="CA124" s="25" t="s">
        <v>560</v>
      </c>
      <c r="CB124" s="19" t="s">
        <v>532</v>
      </c>
      <c r="CC124" s="19" t="s">
        <v>55</v>
      </c>
      <c r="CD124" s="18"/>
      <c r="CE124" s="18"/>
      <c r="CF124" s="18"/>
      <c r="CH124" s="18"/>
      <c r="CI124" s="18">
        <v>7</v>
      </c>
      <c r="CJ124" s="19"/>
      <c r="CK124" s="25"/>
      <c r="CL124" s="19"/>
      <c r="CM124" s="19"/>
      <c r="CO124" s="42"/>
      <c r="CP124" s="42">
        <v>7</v>
      </c>
      <c r="CQ124" s="45"/>
      <c r="CR124" s="130"/>
      <c r="CS124" s="45"/>
      <c r="CT124" s="45"/>
    </row>
    <row r="125" spans="1:98">
      <c r="A125" s="18"/>
      <c r="B125" s="18"/>
      <c r="C125" s="19">
        <v>0</v>
      </c>
      <c r="D125" s="19">
        <v>1</v>
      </c>
      <c r="E125" s="18"/>
      <c r="F125" s="18"/>
      <c r="G125" s="18"/>
      <c r="H125" s="18"/>
      <c r="I125" s="18"/>
      <c r="J125" s="18"/>
      <c r="L125" s="18"/>
      <c r="M125" s="18"/>
      <c r="N125" s="19">
        <v>0</v>
      </c>
      <c r="O125" s="19">
        <v>0</v>
      </c>
      <c r="P125" s="19">
        <v>0</v>
      </c>
      <c r="Q125" s="19">
        <v>2</v>
      </c>
      <c r="R125" s="18"/>
      <c r="S125" s="18"/>
      <c r="U125" s="18"/>
      <c r="V125" s="18"/>
      <c r="W125" s="19">
        <v>-2</v>
      </c>
      <c r="X125" s="19">
        <v>1</v>
      </c>
      <c r="Y125" s="19">
        <v>1</v>
      </c>
      <c r="Z125" s="19"/>
      <c r="AA125" s="19"/>
      <c r="AB125" s="19"/>
      <c r="AD125" s="18"/>
      <c r="AE125" s="18"/>
      <c r="AF125" s="19">
        <v>2</v>
      </c>
      <c r="AG125" s="19">
        <v>2</v>
      </c>
      <c r="AH125" s="19">
        <v>0</v>
      </c>
      <c r="AI125" s="19">
        <v>0</v>
      </c>
      <c r="AJ125" s="18"/>
      <c r="AK125" s="18"/>
      <c r="AM125" s="18"/>
      <c r="AN125" s="18"/>
      <c r="AO125" s="19">
        <v>2</v>
      </c>
      <c r="AP125" s="19">
        <v>1</v>
      </c>
      <c r="AQ125" s="19">
        <v>0</v>
      </c>
      <c r="AR125" s="19">
        <v>0</v>
      </c>
      <c r="AT125" s="18"/>
      <c r="AU125" s="18"/>
      <c r="AV125" s="19">
        <v>2</v>
      </c>
      <c r="AW125" s="19">
        <v>2</v>
      </c>
      <c r="AX125" s="19">
        <v>0</v>
      </c>
      <c r="AY125" s="19">
        <v>0</v>
      </c>
      <c r="BA125" s="24"/>
      <c r="BB125" s="18"/>
      <c r="BC125" s="19">
        <v>1</v>
      </c>
      <c r="BD125" s="19">
        <v>0</v>
      </c>
      <c r="BE125" s="19"/>
      <c r="BF125" s="19"/>
      <c r="BH125" s="18" t="s">
        <v>797</v>
      </c>
      <c r="BI125" s="18"/>
      <c r="BJ125" s="19">
        <v>1</v>
      </c>
      <c r="BK125" s="19">
        <v>2</v>
      </c>
      <c r="BL125" s="19">
        <v>0</v>
      </c>
      <c r="BM125" s="19">
        <v>0</v>
      </c>
      <c r="BN125" s="19">
        <v>0</v>
      </c>
      <c r="BO125" s="19">
        <v>0</v>
      </c>
      <c r="BQ125" s="18" t="s">
        <v>804</v>
      </c>
      <c r="BR125" s="18"/>
      <c r="BS125" s="19">
        <v>1</v>
      </c>
      <c r="BT125" s="19">
        <v>1</v>
      </c>
      <c r="BU125" s="19">
        <v>0</v>
      </c>
      <c r="BV125" s="19">
        <v>0</v>
      </c>
      <c r="BX125" s="18"/>
      <c r="BY125" s="18"/>
      <c r="BZ125" s="19">
        <v>1</v>
      </c>
      <c r="CA125" s="19">
        <v>1</v>
      </c>
      <c r="CB125" s="19">
        <v>0</v>
      </c>
      <c r="CC125" s="19">
        <v>0</v>
      </c>
      <c r="CD125" s="18"/>
      <c r="CE125" s="18"/>
      <c r="CF125" s="18"/>
      <c r="CH125" s="18"/>
      <c r="CI125" s="18"/>
      <c r="CJ125" s="19"/>
      <c r="CK125" s="19"/>
      <c r="CL125" s="19"/>
      <c r="CM125" s="19"/>
      <c r="CO125" s="42"/>
      <c r="CP125" s="42"/>
      <c r="CQ125" s="45"/>
      <c r="CR125" s="45"/>
      <c r="CS125" s="45"/>
      <c r="CT125" s="45"/>
    </row>
    <row r="126" spans="1:98">
      <c r="A126" s="18" t="s">
        <v>125</v>
      </c>
      <c r="B126" s="18">
        <v>8</v>
      </c>
      <c r="C126" s="19" t="s">
        <v>195</v>
      </c>
      <c r="D126" s="19" t="s">
        <v>42</v>
      </c>
      <c r="E126" s="19"/>
      <c r="F126" s="19"/>
      <c r="G126" s="19"/>
      <c r="H126" s="19"/>
      <c r="I126" s="19"/>
      <c r="J126" s="19"/>
      <c r="L126" s="18" t="s">
        <v>162</v>
      </c>
      <c r="M126" s="18">
        <v>8</v>
      </c>
      <c r="N126" s="19" t="s">
        <v>76</v>
      </c>
      <c r="O126" s="19" t="s">
        <v>78</v>
      </c>
      <c r="P126" s="19" t="s">
        <v>163</v>
      </c>
      <c r="Q126" s="19" t="s">
        <v>39</v>
      </c>
      <c r="R126" s="19" t="s">
        <v>16</v>
      </c>
      <c r="S126" s="19" t="s">
        <v>6</v>
      </c>
      <c r="U126" s="18" t="s">
        <v>564</v>
      </c>
      <c r="V126" s="18">
        <v>7</v>
      </c>
      <c r="W126" s="19" t="s">
        <v>545</v>
      </c>
      <c r="X126" s="25" t="s">
        <v>560</v>
      </c>
      <c r="Y126" s="19" t="s">
        <v>60</v>
      </c>
      <c r="Z126" s="19" t="s">
        <v>291</v>
      </c>
      <c r="AA126" s="19"/>
      <c r="AB126" s="19"/>
      <c r="AD126" s="18" t="s">
        <v>594</v>
      </c>
      <c r="AE126" s="18">
        <v>8</v>
      </c>
      <c r="AF126" s="19" t="s">
        <v>37</v>
      </c>
      <c r="AG126" s="19" t="s">
        <v>1</v>
      </c>
      <c r="AH126" s="19" t="s">
        <v>55</v>
      </c>
      <c r="AI126" s="19" t="s">
        <v>75</v>
      </c>
      <c r="AJ126" s="19" t="s">
        <v>3</v>
      </c>
      <c r="AK126" s="19" t="s">
        <v>39</v>
      </c>
      <c r="AM126" s="18" t="s">
        <v>125</v>
      </c>
      <c r="AN126" s="18">
        <v>8</v>
      </c>
      <c r="AO126" s="19" t="s">
        <v>117</v>
      </c>
      <c r="AP126" s="19" t="s">
        <v>42</v>
      </c>
      <c r="AQ126" s="19"/>
      <c r="AR126" s="19"/>
      <c r="AT126" s="18" t="s">
        <v>559</v>
      </c>
      <c r="AU126" s="18">
        <v>8</v>
      </c>
      <c r="AV126" s="19" t="s">
        <v>151</v>
      </c>
      <c r="AW126" s="19" t="s">
        <v>59</v>
      </c>
      <c r="AX126" s="19"/>
      <c r="AY126" s="19"/>
      <c r="BA126" s="18" t="s">
        <v>286</v>
      </c>
      <c r="BB126" s="18">
        <v>8</v>
      </c>
      <c r="BC126" s="19" t="s">
        <v>263</v>
      </c>
      <c r="BD126" s="19" t="s">
        <v>531</v>
      </c>
      <c r="BE126" s="19"/>
      <c r="BF126" s="19"/>
      <c r="BH126" s="18" t="s">
        <v>127</v>
      </c>
      <c r="BI126" s="18">
        <v>8</v>
      </c>
      <c r="BJ126" s="19" t="s">
        <v>96</v>
      </c>
      <c r="BK126" s="19" t="s">
        <v>67</v>
      </c>
      <c r="BL126" s="19" t="s">
        <v>46</v>
      </c>
      <c r="BM126" s="19" t="s">
        <v>84</v>
      </c>
      <c r="BN126" s="19"/>
      <c r="BO126" s="19"/>
      <c r="BQ126" s="18" t="s">
        <v>125</v>
      </c>
      <c r="BR126" s="18">
        <v>8</v>
      </c>
      <c r="BS126" s="19" t="s">
        <v>83</v>
      </c>
      <c r="BT126" s="19" t="s">
        <v>14</v>
      </c>
      <c r="BU126" s="19"/>
      <c r="BV126" s="19"/>
      <c r="BX126" s="18" t="s">
        <v>559</v>
      </c>
      <c r="BY126" s="18">
        <v>8</v>
      </c>
      <c r="BZ126" s="19" t="s">
        <v>7</v>
      </c>
      <c r="CA126" s="19" t="s">
        <v>796</v>
      </c>
      <c r="CB126" s="19"/>
      <c r="CC126" s="19"/>
      <c r="CD126" s="19"/>
      <c r="CE126" s="19"/>
      <c r="CF126" s="19"/>
      <c r="CH126" s="18"/>
      <c r="CI126" s="18">
        <v>8</v>
      </c>
      <c r="CJ126" s="19"/>
      <c r="CK126" s="19"/>
      <c r="CL126" s="19"/>
      <c r="CM126" s="19"/>
      <c r="CO126" s="42"/>
      <c r="CP126" s="42">
        <v>8</v>
      </c>
      <c r="CQ126" s="45"/>
      <c r="CR126" s="72"/>
      <c r="CS126" s="45"/>
      <c r="CT126" s="45"/>
    </row>
    <row r="127" spans="1:98">
      <c r="A127" s="18" t="s">
        <v>730</v>
      </c>
      <c r="B127" s="18"/>
      <c r="C127" s="19">
        <v>1</v>
      </c>
      <c r="D127" s="19">
        <v>0</v>
      </c>
      <c r="E127" s="19"/>
      <c r="F127" s="19"/>
      <c r="G127" s="19"/>
      <c r="H127" s="19"/>
      <c r="I127" s="19"/>
      <c r="J127" s="19"/>
      <c r="L127" s="18"/>
      <c r="M127" s="18"/>
      <c r="N127" s="19">
        <v>0</v>
      </c>
      <c r="O127" s="19">
        <v>0</v>
      </c>
      <c r="P127" s="19">
        <v>1</v>
      </c>
      <c r="Q127" s="19">
        <v>0</v>
      </c>
      <c r="R127" s="19">
        <v>0</v>
      </c>
      <c r="S127" s="19">
        <v>0</v>
      </c>
      <c r="U127" s="18"/>
      <c r="V127" s="18"/>
      <c r="W127" s="19">
        <v>1</v>
      </c>
      <c r="X127" s="19">
        <v>1</v>
      </c>
      <c r="Y127" s="19">
        <v>0</v>
      </c>
      <c r="Z127" s="19">
        <v>0</v>
      </c>
      <c r="AA127" s="19"/>
      <c r="AB127" s="19"/>
      <c r="AD127" s="18"/>
      <c r="AE127" s="18"/>
      <c r="AF127" s="19">
        <v>0</v>
      </c>
      <c r="AG127" s="19">
        <v>0</v>
      </c>
      <c r="AH127" s="19">
        <v>0</v>
      </c>
      <c r="AI127" s="19">
        <v>1</v>
      </c>
      <c r="AJ127" s="19">
        <v>0</v>
      </c>
      <c r="AK127" s="19">
        <v>0</v>
      </c>
      <c r="AM127" s="18"/>
      <c r="AN127" s="18"/>
      <c r="AO127" s="19">
        <v>1</v>
      </c>
      <c r="AP127" s="19">
        <v>0</v>
      </c>
      <c r="AQ127" s="19"/>
      <c r="AR127" s="19"/>
      <c r="AT127" s="18" t="s">
        <v>781</v>
      </c>
      <c r="AU127" s="18"/>
      <c r="AV127" s="19">
        <v>1</v>
      </c>
      <c r="AW127" s="19">
        <v>0</v>
      </c>
      <c r="AX127" s="19"/>
      <c r="AY127" s="19"/>
      <c r="BA127" s="58"/>
      <c r="BB127" s="58"/>
      <c r="BC127" s="59">
        <v>1</v>
      </c>
      <c r="BD127" s="59">
        <v>0</v>
      </c>
      <c r="BE127" s="59"/>
      <c r="BF127" s="59"/>
      <c r="BH127" s="18"/>
      <c r="BI127" s="18"/>
      <c r="BJ127" s="19">
        <v>1</v>
      </c>
      <c r="BK127" s="19">
        <v>0</v>
      </c>
      <c r="BL127" s="19">
        <v>0</v>
      </c>
      <c r="BM127" s="19">
        <v>0</v>
      </c>
      <c r="BN127" s="19"/>
      <c r="BO127" s="19"/>
      <c r="BQ127" s="18"/>
      <c r="BR127" s="18"/>
      <c r="BS127" s="19">
        <v>2</v>
      </c>
      <c r="BT127" s="19">
        <v>0</v>
      </c>
      <c r="BU127" s="19"/>
      <c r="BV127" s="19"/>
      <c r="BX127" s="18"/>
      <c r="BY127" s="18"/>
      <c r="BZ127" s="19">
        <v>0</v>
      </c>
      <c r="CA127" s="19">
        <v>3</v>
      </c>
      <c r="CB127" s="19"/>
      <c r="CC127" s="19"/>
      <c r="CD127" s="19"/>
      <c r="CE127" s="19"/>
      <c r="CF127" s="19"/>
      <c r="CH127" s="18"/>
      <c r="CI127" s="18"/>
      <c r="CJ127" s="19"/>
      <c r="CK127" s="19"/>
      <c r="CL127" s="19"/>
      <c r="CM127" s="19"/>
      <c r="CO127" s="42"/>
      <c r="CP127" s="42"/>
      <c r="CQ127" s="45"/>
      <c r="CR127" s="45"/>
      <c r="CS127" s="45"/>
      <c r="CT127" s="45"/>
    </row>
    <row r="128" spans="1:98">
      <c r="A128" s="18" t="s">
        <v>127</v>
      </c>
      <c r="B128" s="18">
        <v>9</v>
      </c>
      <c r="C128" s="19" t="s">
        <v>143</v>
      </c>
      <c r="D128" s="19" t="s">
        <v>55</v>
      </c>
      <c r="E128" s="18"/>
      <c r="F128" s="18"/>
      <c r="G128" s="18"/>
      <c r="H128" s="18"/>
      <c r="I128" s="18"/>
      <c r="J128" s="18"/>
      <c r="L128" s="18" t="s">
        <v>559</v>
      </c>
      <c r="M128" s="18">
        <v>9</v>
      </c>
      <c r="N128" s="19" t="s">
        <v>59</v>
      </c>
      <c r="O128" s="19" t="s">
        <v>151</v>
      </c>
      <c r="P128" s="18"/>
      <c r="Q128" s="18"/>
      <c r="R128" s="18"/>
      <c r="S128" s="18"/>
      <c r="U128" s="18" t="s">
        <v>127</v>
      </c>
      <c r="V128" s="18">
        <v>8</v>
      </c>
      <c r="W128" s="19" t="s">
        <v>143</v>
      </c>
      <c r="X128" s="19" t="s">
        <v>3</v>
      </c>
      <c r="Y128" s="19"/>
      <c r="Z128" s="19"/>
      <c r="AA128" s="19"/>
      <c r="AB128" s="19"/>
      <c r="AD128" s="18" t="s">
        <v>595</v>
      </c>
      <c r="AE128" s="18">
        <v>9</v>
      </c>
      <c r="AF128" s="19" t="s">
        <v>40</v>
      </c>
      <c r="AG128" s="19" t="s">
        <v>144</v>
      </c>
      <c r="AH128" s="19" t="s">
        <v>38</v>
      </c>
      <c r="AI128" s="19" t="s">
        <v>45</v>
      </c>
      <c r="AJ128" s="19" t="s">
        <v>84</v>
      </c>
      <c r="AK128" s="19" t="s">
        <v>47</v>
      </c>
      <c r="AM128" s="18" t="s">
        <v>559</v>
      </c>
      <c r="AN128" s="18">
        <v>9</v>
      </c>
      <c r="AO128" s="19" t="s">
        <v>151</v>
      </c>
      <c r="AP128" s="19" t="s">
        <v>63</v>
      </c>
      <c r="AQ128" s="18"/>
      <c r="AR128" s="18"/>
      <c r="AT128" s="18" t="s">
        <v>125</v>
      </c>
      <c r="AU128" s="18">
        <v>9</v>
      </c>
      <c r="AV128" s="19" t="s">
        <v>117</v>
      </c>
      <c r="AW128" s="19" t="s">
        <v>47</v>
      </c>
      <c r="AX128" s="18"/>
      <c r="AY128" s="18"/>
      <c r="BA128" s="18" t="s">
        <v>783</v>
      </c>
      <c r="BB128" s="18">
        <v>9</v>
      </c>
      <c r="BC128" s="19" t="s">
        <v>869</v>
      </c>
      <c r="BD128" s="19" t="s">
        <v>60</v>
      </c>
      <c r="BE128" s="18"/>
      <c r="BF128" s="19"/>
      <c r="BH128" s="18" t="s">
        <v>559</v>
      </c>
      <c r="BI128" s="18">
        <v>9</v>
      </c>
      <c r="BJ128" s="19" t="s">
        <v>72</v>
      </c>
      <c r="BK128" s="19" t="s">
        <v>791</v>
      </c>
      <c r="BL128" s="19" t="s">
        <v>45</v>
      </c>
      <c r="BM128" s="19" t="s">
        <v>63</v>
      </c>
      <c r="BN128" s="19"/>
      <c r="BO128" s="19"/>
      <c r="BQ128" s="18" t="s">
        <v>127</v>
      </c>
      <c r="BR128" s="18">
        <v>9</v>
      </c>
      <c r="BS128" s="19" t="s">
        <v>96</v>
      </c>
      <c r="BT128" s="19" t="s">
        <v>67</v>
      </c>
      <c r="BU128" s="18"/>
      <c r="BV128" s="18"/>
      <c r="BX128" s="18" t="s">
        <v>125</v>
      </c>
      <c r="BY128" s="18">
        <v>9</v>
      </c>
      <c r="BZ128" s="19" t="s">
        <v>83</v>
      </c>
      <c r="CA128" s="19" t="s">
        <v>56</v>
      </c>
      <c r="CB128" s="18"/>
      <c r="CC128" s="18"/>
      <c r="CD128" s="18"/>
      <c r="CE128" s="18"/>
      <c r="CF128" s="18"/>
      <c r="CH128" s="18"/>
      <c r="CI128" s="18">
        <v>9</v>
      </c>
      <c r="CJ128" s="19"/>
      <c r="CK128" s="19"/>
      <c r="CL128" s="19"/>
      <c r="CM128" s="19"/>
      <c r="CO128" s="42"/>
      <c r="CP128" s="42"/>
      <c r="CQ128" s="45"/>
      <c r="CR128" s="45"/>
      <c r="CS128" s="45"/>
      <c r="CT128" s="45"/>
    </row>
    <row r="129" spans="1:98">
      <c r="A129" s="18"/>
      <c r="B129" s="18"/>
      <c r="C129" s="19">
        <v>1</v>
      </c>
      <c r="D129" s="19">
        <v>0</v>
      </c>
      <c r="E129" s="18"/>
      <c r="F129" s="18"/>
      <c r="G129" s="18"/>
      <c r="H129" s="18"/>
      <c r="I129" s="18"/>
      <c r="J129" s="18"/>
      <c r="L129" s="18"/>
      <c r="M129" s="18"/>
      <c r="N129" s="19">
        <v>0</v>
      </c>
      <c r="O129" s="19">
        <v>2</v>
      </c>
      <c r="P129" s="18"/>
      <c r="Q129" s="18"/>
      <c r="R129" s="18"/>
      <c r="S129" s="18"/>
      <c r="U129" s="18"/>
      <c r="V129" s="18"/>
      <c r="W129" s="19">
        <v>2</v>
      </c>
      <c r="X129" s="19">
        <v>0</v>
      </c>
      <c r="Y129" s="19"/>
      <c r="Z129" s="19"/>
      <c r="AA129" s="19"/>
      <c r="AB129" s="19"/>
      <c r="AD129" s="18"/>
      <c r="AE129" s="18"/>
      <c r="AF129" s="19">
        <v>0</v>
      </c>
      <c r="AG129" s="19">
        <v>1</v>
      </c>
      <c r="AH129" s="19">
        <v>0</v>
      </c>
      <c r="AI129" s="19">
        <v>0</v>
      </c>
      <c r="AJ129" s="19">
        <v>0</v>
      </c>
      <c r="AK129" s="19">
        <v>0</v>
      </c>
      <c r="AM129" s="18"/>
      <c r="AN129" s="18"/>
      <c r="AO129" s="19">
        <v>1</v>
      </c>
      <c r="AP129" s="19">
        <v>0</v>
      </c>
      <c r="AQ129" s="18"/>
      <c r="AR129" s="18"/>
      <c r="AT129" s="18" t="s">
        <v>885</v>
      </c>
      <c r="AU129" s="18"/>
      <c r="AV129" s="19">
        <v>1</v>
      </c>
      <c r="AW129" s="19">
        <v>0</v>
      </c>
      <c r="AX129" s="18"/>
      <c r="AY129" s="18"/>
      <c r="BA129" s="18"/>
      <c r="BB129" s="18"/>
      <c r="BC129" s="19">
        <v>1</v>
      </c>
      <c r="BD129" s="19">
        <v>0</v>
      </c>
      <c r="BE129" s="18"/>
      <c r="BF129" s="19"/>
      <c r="BH129" s="18" t="s">
        <v>799</v>
      </c>
      <c r="BI129" s="18"/>
      <c r="BJ129" s="19">
        <v>1</v>
      </c>
      <c r="BK129" s="19">
        <v>0</v>
      </c>
      <c r="BL129" s="19">
        <v>0</v>
      </c>
      <c r="BM129" s="19">
        <v>0</v>
      </c>
      <c r="BN129" s="19"/>
      <c r="BO129" s="19"/>
      <c r="BQ129" s="18"/>
      <c r="BR129" s="18"/>
      <c r="BS129" s="19">
        <v>1</v>
      </c>
      <c r="BT129" s="19">
        <v>0</v>
      </c>
      <c r="BU129" s="18"/>
      <c r="BV129" s="18"/>
      <c r="BX129" s="18"/>
      <c r="BY129" s="18"/>
      <c r="BZ129" s="19">
        <v>2</v>
      </c>
      <c r="CA129" s="19">
        <v>0</v>
      </c>
      <c r="CB129" s="18"/>
      <c r="CC129" s="18"/>
      <c r="CD129" s="18"/>
      <c r="CE129" s="18"/>
      <c r="CF129" s="18"/>
      <c r="CH129" s="18"/>
      <c r="CI129" s="18"/>
      <c r="CJ129" s="19"/>
      <c r="CK129" s="19"/>
      <c r="CL129" s="19"/>
      <c r="CM129" s="19"/>
      <c r="CO129" s="42"/>
      <c r="CP129" s="42"/>
      <c r="CQ129" s="45"/>
      <c r="CR129" s="45"/>
      <c r="CS129" s="45"/>
      <c r="CT129" s="45"/>
    </row>
    <row r="130" spans="1:98">
      <c r="A130" s="18" t="s">
        <v>559</v>
      </c>
      <c r="B130" s="18">
        <v>10</v>
      </c>
      <c r="C130" s="19" t="s">
        <v>72</v>
      </c>
      <c r="D130" s="19" t="s">
        <v>63</v>
      </c>
      <c r="E130" s="18"/>
      <c r="F130" s="18"/>
      <c r="G130" s="18"/>
      <c r="H130" s="18"/>
      <c r="I130" s="18"/>
      <c r="J130" s="18"/>
      <c r="L130" s="18" t="s">
        <v>125</v>
      </c>
      <c r="M130" s="18">
        <v>10</v>
      </c>
      <c r="N130" s="19" t="s">
        <v>45</v>
      </c>
      <c r="O130" s="19" t="s">
        <v>83</v>
      </c>
      <c r="P130" s="18"/>
      <c r="Q130" s="18"/>
      <c r="R130" s="18"/>
      <c r="S130" s="18"/>
      <c r="U130" s="18" t="s">
        <v>559</v>
      </c>
      <c r="V130" s="18">
        <v>9</v>
      </c>
      <c r="W130" s="19" t="s">
        <v>151</v>
      </c>
      <c r="X130" s="19" t="s">
        <v>46</v>
      </c>
      <c r="Y130" s="19"/>
      <c r="Z130" s="19"/>
      <c r="AA130" s="19"/>
      <c r="AB130" s="19"/>
      <c r="AD130" s="18" t="s">
        <v>593</v>
      </c>
      <c r="AE130" s="18">
        <v>10</v>
      </c>
      <c r="AF130" s="19" t="s">
        <v>78</v>
      </c>
      <c r="AG130" s="19" t="s">
        <v>551</v>
      </c>
      <c r="AH130" s="19" t="s">
        <v>9</v>
      </c>
      <c r="AI130" s="19" t="s">
        <v>63</v>
      </c>
      <c r="AJ130" s="19" t="s">
        <v>65</v>
      </c>
      <c r="AK130" s="19" t="s">
        <v>61</v>
      </c>
      <c r="AM130" s="18" t="s">
        <v>127</v>
      </c>
      <c r="AN130" s="18">
        <v>10</v>
      </c>
      <c r="AO130" s="19" t="s">
        <v>143</v>
      </c>
      <c r="AP130" s="19" t="s">
        <v>532</v>
      </c>
      <c r="AQ130" s="18"/>
      <c r="AR130" s="18"/>
      <c r="AT130" s="18" t="s">
        <v>127</v>
      </c>
      <c r="AU130" s="18">
        <v>10</v>
      </c>
      <c r="AV130" s="19" t="s">
        <v>143</v>
      </c>
      <c r="AW130" s="19" t="s">
        <v>46</v>
      </c>
      <c r="AX130" s="18"/>
      <c r="AY130" s="18"/>
      <c r="BA130" s="18" t="s">
        <v>784</v>
      </c>
      <c r="BB130" s="18">
        <v>10</v>
      </c>
      <c r="BC130" s="19" t="s">
        <v>47</v>
      </c>
      <c r="BD130" s="19" t="s">
        <v>112</v>
      </c>
      <c r="BE130" s="18"/>
      <c r="BF130" s="19"/>
      <c r="BH130" s="18" t="s">
        <v>559</v>
      </c>
      <c r="BI130" s="18">
        <v>10</v>
      </c>
      <c r="BJ130" s="19" t="s">
        <v>59</v>
      </c>
      <c r="BK130" s="19" t="s">
        <v>551</v>
      </c>
      <c r="BL130" s="19"/>
      <c r="BM130" s="19"/>
      <c r="BN130" s="19"/>
      <c r="BO130" s="19"/>
      <c r="BQ130" s="18" t="s">
        <v>559</v>
      </c>
      <c r="BR130" s="18">
        <v>10</v>
      </c>
      <c r="BS130" s="19" t="s">
        <v>551</v>
      </c>
      <c r="BT130" s="19" t="s">
        <v>791</v>
      </c>
      <c r="BU130" s="18"/>
      <c r="BV130" s="18"/>
      <c r="BX130" s="18" t="s">
        <v>127</v>
      </c>
      <c r="BY130" s="18">
        <v>10</v>
      </c>
      <c r="BZ130" s="19" t="s">
        <v>96</v>
      </c>
      <c r="CA130" s="19" t="s">
        <v>52</v>
      </c>
      <c r="CB130" s="18"/>
      <c r="CC130" s="18"/>
      <c r="CD130" s="18"/>
      <c r="CE130" s="18"/>
      <c r="CF130" s="18"/>
      <c r="CH130" s="18"/>
      <c r="CI130" s="18">
        <v>10</v>
      </c>
      <c r="CJ130" s="19"/>
      <c r="CK130" s="19"/>
      <c r="CL130" s="19"/>
      <c r="CM130" s="19"/>
      <c r="CO130" s="46"/>
      <c r="CP130" s="42"/>
      <c r="CQ130" s="45"/>
      <c r="CR130" s="72"/>
      <c r="CS130" s="45"/>
      <c r="CT130" s="45"/>
    </row>
    <row r="131" spans="1:98">
      <c r="A131" s="18"/>
      <c r="B131" s="18"/>
      <c r="C131" s="19">
        <v>3</v>
      </c>
      <c r="D131" s="19">
        <v>0</v>
      </c>
      <c r="E131" s="18"/>
      <c r="F131" s="18"/>
      <c r="G131" s="18"/>
      <c r="H131" s="18"/>
      <c r="I131" s="18"/>
      <c r="J131" s="18"/>
      <c r="L131" s="18" t="s">
        <v>737</v>
      </c>
      <c r="M131" s="18"/>
      <c r="N131" s="19">
        <v>0</v>
      </c>
      <c r="O131" s="19">
        <v>3</v>
      </c>
      <c r="P131" s="18"/>
      <c r="Q131" s="18"/>
      <c r="R131" s="18"/>
      <c r="S131" s="18"/>
      <c r="U131" s="18"/>
      <c r="V131" s="18"/>
      <c r="W131" s="19">
        <v>2</v>
      </c>
      <c r="X131" s="19">
        <v>0</v>
      </c>
      <c r="Y131" s="19"/>
      <c r="Z131" s="19"/>
      <c r="AA131" s="19"/>
      <c r="AB131" s="19"/>
      <c r="AD131" s="18"/>
      <c r="AE131" s="18"/>
      <c r="AF131" s="19">
        <v>0</v>
      </c>
      <c r="AG131" s="19">
        <v>1</v>
      </c>
      <c r="AH131" s="19">
        <v>0</v>
      </c>
      <c r="AI131" s="19">
        <v>0</v>
      </c>
      <c r="AJ131" s="19">
        <v>0</v>
      </c>
      <c r="AK131" s="19">
        <v>0</v>
      </c>
      <c r="AM131" s="18"/>
      <c r="AN131" s="18"/>
      <c r="AO131" s="19">
        <v>2</v>
      </c>
      <c r="AP131" s="19">
        <v>0</v>
      </c>
      <c r="AQ131" s="18"/>
      <c r="AR131" s="18"/>
      <c r="AT131" s="18" t="s">
        <v>781</v>
      </c>
      <c r="AU131" s="18"/>
      <c r="AV131" s="19">
        <v>1</v>
      </c>
      <c r="AW131" s="19">
        <v>0</v>
      </c>
      <c r="AX131" s="18"/>
      <c r="AY131" s="18"/>
      <c r="BA131" s="126"/>
      <c r="BB131" s="18"/>
      <c r="BC131" s="19">
        <v>0</v>
      </c>
      <c r="BD131" s="19">
        <v>1</v>
      </c>
      <c r="BE131" s="18"/>
      <c r="BF131" s="19"/>
      <c r="BH131" s="18" t="s">
        <v>800</v>
      </c>
      <c r="BI131" s="18"/>
      <c r="BJ131" s="19">
        <v>0</v>
      </c>
      <c r="BK131" s="19">
        <v>1</v>
      </c>
      <c r="BL131" s="19"/>
      <c r="BM131" s="19"/>
      <c r="BN131" s="19"/>
      <c r="BO131" s="19"/>
      <c r="BQ131" s="18"/>
      <c r="BR131" s="18"/>
      <c r="BS131" s="19">
        <v>2</v>
      </c>
      <c r="BT131" s="19">
        <v>0</v>
      </c>
      <c r="BU131" s="18"/>
      <c r="BV131" s="18"/>
      <c r="BX131" s="18"/>
      <c r="BY131" s="18"/>
      <c r="BZ131" s="19">
        <v>1</v>
      </c>
      <c r="CA131" s="19">
        <v>0</v>
      </c>
      <c r="CB131" s="18"/>
      <c r="CC131" s="18"/>
      <c r="CD131" s="18"/>
      <c r="CE131" s="18"/>
      <c r="CF131" s="18"/>
      <c r="CH131" s="18"/>
      <c r="CI131" s="18"/>
      <c r="CJ131" s="19"/>
      <c r="CK131" s="19"/>
      <c r="CL131" s="19"/>
      <c r="CM131" s="19"/>
      <c r="CO131" s="42"/>
      <c r="CP131" s="42"/>
      <c r="CQ131" s="45"/>
      <c r="CR131" s="45"/>
      <c r="CS131" s="45"/>
      <c r="CT131" s="45"/>
    </row>
    <row r="132" spans="1:98">
      <c r="A132" s="18" t="s">
        <v>126</v>
      </c>
      <c r="B132" s="18">
        <v>11</v>
      </c>
      <c r="C132" s="19" t="s">
        <v>14</v>
      </c>
      <c r="D132" s="19" t="s">
        <v>64</v>
      </c>
      <c r="E132" s="19" t="s">
        <v>46</v>
      </c>
      <c r="F132" s="19" t="s">
        <v>142</v>
      </c>
      <c r="G132" s="19" t="s">
        <v>721</v>
      </c>
      <c r="H132" s="19" t="s">
        <v>61</v>
      </c>
      <c r="I132" s="19" t="s">
        <v>76</v>
      </c>
      <c r="J132" s="19" t="s">
        <v>78</v>
      </c>
      <c r="L132" s="18" t="s">
        <v>127</v>
      </c>
      <c r="M132" s="18">
        <v>11</v>
      </c>
      <c r="N132" s="19" t="s">
        <v>143</v>
      </c>
      <c r="O132" s="19" t="s">
        <v>55</v>
      </c>
      <c r="P132" s="18"/>
      <c r="Q132" s="18"/>
      <c r="R132" s="18"/>
      <c r="S132" s="18"/>
      <c r="U132" s="18" t="s">
        <v>125</v>
      </c>
      <c r="V132" s="18">
        <v>10</v>
      </c>
      <c r="W132" s="19" t="s">
        <v>83</v>
      </c>
      <c r="X132" s="19" t="s">
        <v>84</v>
      </c>
      <c r="Y132" s="19"/>
      <c r="Z132" s="19"/>
      <c r="AA132" s="19"/>
      <c r="AB132" s="19"/>
      <c r="AD132" s="18" t="s">
        <v>559</v>
      </c>
      <c r="AE132" s="18">
        <v>11</v>
      </c>
      <c r="AF132" s="19" t="s">
        <v>151</v>
      </c>
      <c r="AG132" s="19" t="s">
        <v>59</v>
      </c>
      <c r="AH132" s="19"/>
      <c r="AI132" s="19"/>
      <c r="AJ132" s="19"/>
      <c r="AK132" s="19"/>
      <c r="BA132" s="18" t="s">
        <v>298</v>
      </c>
      <c r="BB132" s="18">
        <v>11</v>
      </c>
      <c r="BC132" s="19" t="s">
        <v>144</v>
      </c>
      <c r="BD132" s="19" t="s">
        <v>38</v>
      </c>
      <c r="BE132" s="18"/>
      <c r="BF132" s="19"/>
      <c r="BH132" s="18" t="s">
        <v>125</v>
      </c>
      <c r="BI132" s="18">
        <v>11</v>
      </c>
      <c r="BJ132" s="19" t="s">
        <v>83</v>
      </c>
      <c r="BK132" s="19" t="s">
        <v>56</v>
      </c>
      <c r="BL132" s="19" t="s">
        <v>19</v>
      </c>
      <c r="BM132" s="19" t="s">
        <v>64</v>
      </c>
      <c r="BN132" s="19"/>
      <c r="BO132" s="19"/>
      <c r="BX132" s="18" t="s">
        <v>127</v>
      </c>
      <c r="BY132" s="18">
        <v>11</v>
      </c>
      <c r="BZ132" s="19" t="s">
        <v>96</v>
      </c>
      <c r="CA132" s="19" t="s">
        <v>24</v>
      </c>
      <c r="CB132" s="18"/>
      <c r="CC132" s="18"/>
      <c r="CD132" s="18"/>
      <c r="CE132" s="18"/>
      <c r="CF132" s="18"/>
      <c r="CO132" s="42"/>
      <c r="CP132" s="42"/>
      <c r="CQ132" s="45"/>
      <c r="CR132" s="45"/>
      <c r="CS132" s="45"/>
      <c r="CT132" s="45"/>
    </row>
    <row r="133" spans="1:98">
      <c r="A133" s="18"/>
      <c r="B133" s="18"/>
      <c r="C133" s="19">
        <v>0</v>
      </c>
      <c r="D133" s="19">
        <v>0</v>
      </c>
      <c r="E133" s="19">
        <v>0</v>
      </c>
      <c r="F133" s="19">
        <v>1</v>
      </c>
      <c r="G133" s="19">
        <v>0</v>
      </c>
      <c r="H133" s="19">
        <v>0</v>
      </c>
      <c r="I133" s="19">
        <v>0</v>
      </c>
      <c r="J133" s="19">
        <v>0</v>
      </c>
      <c r="L133" s="18"/>
      <c r="M133" s="18"/>
      <c r="N133" s="19">
        <v>2</v>
      </c>
      <c r="O133" s="19">
        <v>0</v>
      </c>
      <c r="P133" s="18"/>
      <c r="Q133" s="18"/>
      <c r="R133" s="18"/>
      <c r="S133" s="18"/>
      <c r="U133" s="18" t="s">
        <v>745</v>
      </c>
      <c r="V133" s="18"/>
      <c r="W133" s="19">
        <v>1</v>
      </c>
      <c r="X133" s="19">
        <v>0</v>
      </c>
      <c r="Y133" s="19"/>
      <c r="Z133" s="19"/>
      <c r="AA133" s="19"/>
      <c r="AB133" s="19"/>
      <c r="AD133" s="18"/>
      <c r="AE133" s="18"/>
      <c r="AF133" s="19">
        <v>1</v>
      </c>
      <c r="AG133" s="19">
        <v>0</v>
      </c>
      <c r="AH133" s="19"/>
      <c r="AI133" s="19"/>
      <c r="AJ133" s="19"/>
      <c r="AK133" s="19"/>
      <c r="BA133" s="18"/>
      <c r="BB133" s="18"/>
      <c r="BC133" s="19">
        <v>1</v>
      </c>
      <c r="BD133" s="19">
        <v>0</v>
      </c>
      <c r="BE133" s="18"/>
      <c r="BF133" s="19"/>
      <c r="BH133" s="18"/>
      <c r="BI133" s="18"/>
      <c r="BJ133" s="19">
        <v>1</v>
      </c>
      <c r="BK133" s="19">
        <v>0</v>
      </c>
      <c r="BL133" s="19">
        <v>0</v>
      </c>
      <c r="BM133" s="19">
        <v>0</v>
      </c>
      <c r="BN133" s="19"/>
      <c r="BO133" s="19"/>
      <c r="BX133" s="18" t="s">
        <v>886</v>
      </c>
      <c r="BY133" s="18"/>
      <c r="BZ133" s="19">
        <v>1</v>
      </c>
      <c r="CA133" s="19">
        <v>0</v>
      </c>
      <c r="CB133" s="18"/>
      <c r="CC133" s="18"/>
      <c r="CD133" s="18"/>
      <c r="CE133" s="18"/>
      <c r="CF133" s="18"/>
      <c r="CO133" s="42"/>
      <c r="CP133" s="42"/>
      <c r="CQ133" s="45"/>
      <c r="CR133" s="45"/>
      <c r="CS133" s="45"/>
      <c r="CT133" s="45"/>
    </row>
    <row r="134" spans="1:98">
      <c r="U134" s="18" t="s">
        <v>125</v>
      </c>
      <c r="V134" s="18">
        <v>11</v>
      </c>
      <c r="W134" s="19" t="s">
        <v>42</v>
      </c>
      <c r="X134" s="19" t="s">
        <v>117</v>
      </c>
      <c r="Y134" s="19"/>
      <c r="Z134" s="19"/>
      <c r="AA134" s="19"/>
      <c r="AB134" s="19"/>
      <c r="AD134" s="18" t="s">
        <v>125</v>
      </c>
      <c r="AE134" s="18">
        <v>12</v>
      </c>
      <c r="AF134" s="19" t="s">
        <v>117</v>
      </c>
      <c r="AG134" s="19" t="s">
        <v>42</v>
      </c>
      <c r="AH134" s="19"/>
      <c r="AI134" s="19"/>
      <c r="AJ134" s="19"/>
      <c r="AK134" s="19"/>
      <c r="BA134" s="18" t="s">
        <v>296</v>
      </c>
      <c r="BB134" s="18">
        <v>12</v>
      </c>
      <c r="BC134" s="19" t="s">
        <v>83</v>
      </c>
      <c r="BD134" s="19" t="s">
        <v>37</v>
      </c>
      <c r="BE134" s="18"/>
      <c r="BF134" s="19"/>
      <c r="BX134" s="18" t="s">
        <v>441</v>
      </c>
      <c r="BY134" s="18">
        <v>12</v>
      </c>
      <c r="BZ134" s="19" t="s">
        <v>51</v>
      </c>
      <c r="CA134" s="25" t="s">
        <v>49</v>
      </c>
      <c r="CB134" s="19" t="s">
        <v>143</v>
      </c>
      <c r="CC134" s="25" t="s">
        <v>123</v>
      </c>
      <c r="CD134" s="19" t="s">
        <v>721</v>
      </c>
      <c r="CE134" s="19" t="s">
        <v>63</v>
      </c>
      <c r="CF134" s="18"/>
      <c r="CO134" s="42"/>
      <c r="CP134" s="42">
        <v>9</v>
      </c>
      <c r="CQ134" s="45"/>
      <c r="CR134" s="72"/>
      <c r="CS134" s="45"/>
      <c r="CT134" s="45"/>
    </row>
    <row r="135" spans="1:98">
      <c r="U135" s="18" t="s">
        <v>746</v>
      </c>
      <c r="V135" s="18"/>
      <c r="W135" s="19">
        <v>0</v>
      </c>
      <c r="X135" s="19">
        <v>1</v>
      </c>
      <c r="Y135" s="19"/>
      <c r="Z135" s="19"/>
      <c r="AA135" s="19"/>
      <c r="AB135" s="19"/>
      <c r="AD135" s="18"/>
      <c r="AE135" s="18"/>
      <c r="AF135" s="19">
        <v>1</v>
      </c>
      <c r="AG135" s="19">
        <v>0</v>
      </c>
      <c r="AH135" s="19"/>
      <c r="AI135" s="19"/>
      <c r="AJ135" s="19"/>
      <c r="AK135" s="19"/>
      <c r="BA135" s="58"/>
      <c r="BB135" s="58"/>
      <c r="BC135" s="59">
        <v>1</v>
      </c>
      <c r="BD135" s="59">
        <v>0</v>
      </c>
      <c r="BE135" s="58"/>
      <c r="BF135" s="59"/>
      <c r="BX135" s="18" t="s">
        <v>807</v>
      </c>
      <c r="BY135" s="18"/>
      <c r="BZ135" s="19">
        <v>0</v>
      </c>
      <c r="CA135" s="19">
        <v>0</v>
      </c>
      <c r="CB135" s="19">
        <v>2</v>
      </c>
      <c r="CC135" s="19">
        <v>1</v>
      </c>
      <c r="CD135" s="19">
        <v>0</v>
      </c>
      <c r="CE135" s="19">
        <v>0</v>
      </c>
      <c r="CF135" s="18"/>
      <c r="CO135" s="42"/>
      <c r="CP135" s="42"/>
      <c r="CQ135" s="45"/>
      <c r="CR135" s="45"/>
      <c r="CS135" s="45"/>
      <c r="CT135" s="45"/>
    </row>
    <row r="136" spans="1:98">
      <c r="U136" s="18" t="s">
        <v>733</v>
      </c>
      <c r="V136" s="18">
        <v>12</v>
      </c>
      <c r="W136" s="19" t="s">
        <v>7</v>
      </c>
      <c r="X136" s="19" t="s">
        <v>45</v>
      </c>
      <c r="Y136" s="19" t="s">
        <v>47</v>
      </c>
      <c r="Z136" s="19" t="s">
        <v>721</v>
      </c>
      <c r="AA136" s="19" t="s">
        <v>112</v>
      </c>
      <c r="AB136" s="19" t="s">
        <v>46</v>
      </c>
      <c r="AD136" s="18" t="s">
        <v>127</v>
      </c>
      <c r="AE136" s="18">
        <v>13</v>
      </c>
      <c r="AF136" s="19" t="s">
        <v>143</v>
      </c>
      <c r="AG136" s="19" t="s">
        <v>64</v>
      </c>
      <c r="AH136" s="19"/>
      <c r="AI136" s="19"/>
      <c r="AJ136" s="19"/>
      <c r="AK136" s="19"/>
      <c r="BA136" s="18" t="s">
        <v>299</v>
      </c>
      <c r="BB136" s="18">
        <v>13</v>
      </c>
      <c r="BC136" s="19" t="s">
        <v>868</v>
      </c>
      <c r="BD136" s="19" t="s">
        <v>112</v>
      </c>
      <c r="BE136" s="18"/>
      <c r="BF136" s="19"/>
      <c r="CO136" s="42"/>
      <c r="CP136" s="42"/>
      <c r="CQ136" s="45"/>
      <c r="CR136" s="45"/>
      <c r="CS136" s="45"/>
      <c r="CT136" s="45"/>
    </row>
    <row r="137" spans="1:98">
      <c r="U137" s="18" t="s">
        <v>747</v>
      </c>
      <c r="V137" s="18"/>
      <c r="W137" s="19">
        <v>0</v>
      </c>
      <c r="X137" s="19">
        <v>0</v>
      </c>
      <c r="Y137" s="19">
        <v>0</v>
      </c>
      <c r="Z137" s="19">
        <v>0</v>
      </c>
      <c r="AA137" s="19">
        <v>1</v>
      </c>
      <c r="AB137" s="19">
        <v>0</v>
      </c>
      <c r="AD137" s="19"/>
      <c r="AE137" s="19"/>
      <c r="AF137" s="19">
        <v>2</v>
      </c>
      <c r="AG137" s="19">
        <v>0</v>
      </c>
      <c r="AH137" s="19"/>
      <c r="AI137" s="19"/>
      <c r="AJ137" s="19"/>
      <c r="AK137" s="19"/>
      <c r="AM137" s="51"/>
      <c r="AN137" s="32"/>
      <c r="AO137" s="125"/>
      <c r="AP137" s="32"/>
      <c r="AQ137" s="51"/>
      <c r="BA137" s="18"/>
      <c r="BB137" s="18"/>
      <c r="BC137" s="19">
        <v>0</v>
      </c>
      <c r="BD137" s="19">
        <v>1</v>
      </c>
      <c r="BE137" s="18"/>
      <c r="BF137" s="19"/>
      <c r="CO137" s="18"/>
      <c r="CP137" s="42"/>
      <c r="CQ137" s="19"/>
      <c r="CR137" s="18"/>
      <c r="CS137" s="18"/>
      <c r="CT137" s="18"/>
    </row>
    <row r="138" spans="1:98">
      <c r="AE138" s="51"/>
      <c r="AF138" s="32"/>
      <c r="AG138" s="125"/>
      <c r="AH138" s="32"/>
      <c r="AI138" s="51"/>
      <c r="BA138" s="18" t="s">
        <v>785</v>
      </c>
      <c r="BB138" s="18">
        <v>14</v>
      </c>
      <c r="BC138" s="19" t="s">
        <v>83</v>
      </c>
      <c r="BD138" s="19" t="s">
        <v>49</v>
      </c>
      <c r="BE138" s="18"/>
      <c r="BF138" s="19"/>
      <c r="CO138" s="18"/>
      <c r="CP138" s="42"/>
      <c r="CQ138" s="19"/>
      <c r="CR138" s="19"/>
      <c r="CS138" s="18"/>
      <c r="CT138" s="18"/>
    </row>
    <row r="139" spans="1:98">
      <c r="AE139" s="51"/>
      <c r="AF139" s="32"/>
      <c r="AG139" s="125"/>
      <c r="AH139" s="32"/>
      <c r="AI139" s="51"/>
      <c r="BA139" s="58"/>
      <c r="BB139" s="58"/>
      <c r="BC139" s="59">
        <v>1</v>
      </c>
      <c r="BD139" s="59">
        <v>0</v>
      </c>
      <c r="BE139" s="58"/>
      <c r="BF139" s="59"/>
      <c r="CO139" s="18"/>
      <c r="CP139" s="42"/>
      <c r="CQ139" s="19"/>
      <c r="CR139" s="18"/>
      <c r="CS139" s="18"/>
      <c r="CT139" s="18"/>
    </row>
    <row r="140" spans="1:98">
      <c r="AM140" s="51"/>
      <c r="AN140" s="32"/>
      <c r="AO140" s="125"/>
      <c r="AP140" s="32"/>
      <c r="AQ140" s="51"/>
      <c r="BA140" s="18" t="s">
        <v>840</v>
      </c>
      <c r="BB140" s="18">
        <v>15</v>
      </c>
      <c r="BC140" s="19" t="s">
        <v>83</v>
      </c>
      <c r="BD140" s="19" t="s">
        <v>64</v>
      </c>
      <c r="BE140" s="18"/>
      <c r="BF140" s="19"/>
      <c r="CO140" s="18"/>
      <c r="CP140" s="42"/>
      <c r="CQ140" s="19"/>
      <c r="CR140" s="19"/>
      <c r="CS140" s="18"/>
      <c r="CT140" s="18"/>
    </row>
    <row r="141" spans="1:98">
      <c r="AM141" s="51"/>
      <c r="AN141" s="32"/>
      <c r="AO141" s="125"/>
      <c r="AP141" s="32"/>
      <c r="AQ141" s="51"/>
      <c r="BA141" s="18"/>
      <c r="BB141" s="18"/>
      <c r="BC141" s="19">
        <v>1</v>
      </c>
      <c r="BD141" s="19">
        <v>0</v>
      </c>
      <c r="BE141" s="18"/>
      <c r="BF141" s="19"/>
      <c r="CO141" s="18"/>
      <c r="CP141" s="42"/>
      <c r="CQ141" s="19"/>
      <c r="CR141" s="18"/>
      <c r="CS141" s="18"/>
      <c r="CT141" s="18"/>
    </row>
    <row r="142" spans="1:98">
      <c r="AM142" s="51"/>
      <c r="AN142" s="32"/>
      <c r="AO142" s="51"/>
      <c r="AQ142" s="51"/>
      <c r="BA142" s="49" t="s">
        <v>279</v>
      </c>
      <c r="BB142" s="49">
        <v>1</v>
      </c>
      <c r="BC142" s="54" t="s">
        <v>864</v>
      </c>
      <c r="BD142" s="54" t="s">
        <v>542</v>
      </c>
      <c r="BE142" s="49"/>
      <c r="BF142" s="54" t="s">
        <v>242</v>
      </c>
      <c r="CO142" s="18"/>
      <c r="CP142" s="18">
        <v>10</v>
      </c>
      <c r="CQ142" s="19"/>
      <c r="CR142" s="19"/>
      <c r="CS142" s="18"/>
      <c r="CT142" s="18"/>
    </row>
    <row r="143" spans="1:98">
      <c r="AM143" s="51"/>
      <c r="AO143" s="51"/>
      <c r="AQ143" s="51"/>
      <c r="BA143" s="127"/>
      <c r="BB143" s="49"/>
      <c r="BC143" s="54">
        <v>1</v>
      </c>
      <c r="BD143" s="54">
        <v>0</v>
      </c>
      <c r="BE143" s="49"/>
      <c r="BF143" s="54"/>
      <c r="CO143" s="18"/>
      <c r="CP143" s="18"/>
      <c r="CQ143" s="19"/>
      <c r="CR143" s="131"/>
      <c r="CS143" s="18"/>
      <c r="CT143" s="18"/>
    </row>
    <row r="144" spans="1:98">
      <c r="AM144" s="51"/>
      <c r="AO144" s="51"/>
      <c r="AQ144" s="51"/>
      <c r="BA144" s="49" t="s">
        <v>280</v>
      </c>
      <c r="BB144" s="49">
        <v>2</v>
      </c>
      <c r="BC144" s="54" t="s">
        <v>549</v>
      </c>
      <c r="BD144" s="54" t="s">
        <v>62</v>
      </c>
      <c r="BE144" s="49"/>
      <c r="BF144" s="54"/>
      <c r="CO144" s="18"/>
      <c r="CP144" s="18"/>
      <c r="CQ144" s="19"/>
      <c r="CR144" s="19"/>
      <c r="CS144" s="18"/>
      <c r="CT144" s="18"/>
    </row>
    <row r="145" spans="39:98">
      <c r="AM145" s="51"/>
      <c r="AO145" s="51"/>
      <c r="AQ145" s="51"/>
      <c r="BA145" s="49"/>
      <c r="BB145" s="49"/>
      <c r="BC145" s="54">
        <v>1</v>
      </c>
      <c r="BD145" s="54">
        <v>0</v>
      </c>
      <c r="BE145" s="49"/>
      <c r="BF145" s="54"/>
      <c r="CO145" s="18"/>
      <c r="CP145" s="18"/>
      <c r="CQ145" s="19"/>
      <c r="CR145" s="131"/>
      <c r="CS145" s="18"/>
      <c r="CT145" s="18"/>
    </row>
    <row r="146" spans="39:98">
      <c r="AM146" s="51"/>
      <c r="AO146" s="51"/>
      <c r="AQ146" s="51"/>
      <c r="BA146" s="49" t="s">
        <v>281</v>
      </c>
      <c r="BB146" s="49">
        <v>3</v>
      </c>
      <c r="BC146" s="54" t="s">
        <v>123</v>
      </c>
      <c r="BD146" s="54" t="s">
        <v>11</v>
      </c>
      <c r="BE146" s="49"/>
      <c r="BF146" s="54"/>
      <c r="CO146" s="18"/>
      <c r="CP146" s="18"/>
      <c r="CQ146" s="19"/>
      <c r="CR146" s="19"/>
      <c r="CS146" s="18"/>
      <c r="CT146" s="18"/>
    </row>
    <row r="147" spans="39:98">
      <c r="AM147" s="51"/>
      <c r="AO147" s="51"/>
      <c r="AQ147" s="51"/>
      <c r="BA147" s="49"/>
      <c r="BB147" s="49"/>
      <c r="BC147" s="54">
        <v>1</v>
      </c>
      <c r="BD147" s="54">
        <v>0</v>
      </c>
      <c r="BE147" s="49"/>
      <c r="BF147" s="54"/>
      <c r="CO147" s="18"/>
      <c r="CP147" s="18"/>
      <c r="CQ147" s="19"/>
      <c r="CR147" s="19"/>
      <c r="CS147" s="18"/>
      <c r="CT147" s="18"/>
    </row>
    <row r="148" spans="39:98">
      <c r="AM148" s="51"/>
      <c r="AO148" s="51"/>
      <c r="AQ148" s="51"/>
      <c r="BA148" s="49" t="s">
        <v>282</v>
      </c>
      <c r="BB148" s="49">
        <v>4</v>
      </c>
      <c r="BC148" s="54" t="s">
        <v>588</v>
      </c>
      <c r="BD148" s="54" t="s">
        <v>1</v>
      </c>
      <c r="BE148" s="49"/>
      <c r="BF148" s="54"/>
      <c r="CO148" s="18"/>
      <c r="CP148" s="18"/>
      <c r="CQ148" s="19"/>
      <c r="CR148" s="19"/>
      <c r="CS148" s="18"/>
      <c r="CT148" s="18"/>
    </row>
    <row r="149" spans="39:98">
      <c r="BA149" s="49"/>
      <c r="BB149" s="49"/>
      <c r="BC149" s="54">
        <v>1</v>
      </c>
      <c r="BD149" s="54">
        <v>0</v>
      </c>
      <c r="BE149" s="49"/>
      <c r="BF149" s="54"/>
      <c r="CO149" s="18"/>
      <c r="CP149" s="18"/>
      <c r="CQ149" s="19"/>
      <c r="CR149" s="131"/>
      <c r="CS149" s="18"/>
      <c r="CT149" s="18"/>
    </row>
    <row r="150" spans="39:98">
      <c r="BA150" s="49" t="s">
        <v>283</v>
      </c>
      <c r="BB150" s="49">
        <v>5</v>
      </c>
      <c r="BC150" s="54" t="s">
        <v>142</v>
      </c>
      <c r="BD150" s="54" t="s">
        <v>77</v>
      </c>
      <c r="BE150" s="49"/>
      <c r="BF150" s="54"/>
    </row>
    <row r="151" spans="39:98">
      <c r="BA151" s="49"/>
      <c r="BB151" s="49"/>
      <c r="BC151" s="54">
        <v>1</v>
      </c>
      <c r="BD151" s="54">
        <v>0</v>
      </c>
      <c r="BE151" s="49"/>
      <c r="BF151" s="54"/>
    </row>
    <row r="152" spans="39:98">
      <c r="BA152" s="49" t="s">
        <v>284</v>
      </c>
      <c r="BB152" s="49">
        <v>6</v>
      </c>
      <c r="BC152" s="54" t="s">
        <v>75</v>
      </c>
      <c r="BD152" s="54" t="s">
        <v>17</v>
      </c>
      <c r="BE152" s="49"/>
      <c r="BF152" s="54"/>
    </row>
    <row r="153" spans="39:98">
      <c r="BA153" s="49"/>
      <c r="BB153" s="49"/>
      <c r="BC153" s="54">
        <v>1</v>
      </c>
      <c r="BD153" s="54">
        <v>0</v>
      </c>
      <c r="BE153" s="49"/>
      <c r="BF153" s="54"/>
    </row>
    <row r="154" spans="39:98">
      <c r="BA154" s="49" t="s">
        <v>285</v>
      </c>
      <c r="BB154" s="49">
        <v>7</v>
      </c>
      <c r="BC154" s="54" t="s">
        <v>96</v>
      </c>
      <c r="BD154" s="54" t="s">
        <v>82</v>
      </c>
      <c r="BE154" s="49"/>
      <c r="BF154" s="54"/>
    </row>
    <row r="155" spans="39:98">
      <c r="BA155" s="53"/>
      <c r="BB155" s="49"/>
      <c r="BC155" s="54">
        <v>1</v>
      </c>
      <c r="BD155" s="54">
        <v>0</v>
      </c>
      <c r="BE155" s="49"/>
      <c r="BF155" s="54"/>
    </row>
    <row r="156" spans="39:98">
      <c r="BA156" s="49" t="s">
        <v>286</v>
      </c>
      <c r="BB156" s="49">
        <v>8</v>
      </c>
      <c r="BC156" s="54" t="s">
        <v>66</v>
      </c>
      <c r="BD156" s="54" t="s">
        <v>545</v>
      </c>
      <c r="BE156" s="49"/>
      <c r="BF156" s="54"/>
    </row>
    <row r="157" spans="39:98">
      <c r="BA157" s="56"/>
      <c r="BB157" s="56"/>
      <c r="BC157" s="57">
        <v>0</v>
      </c>
      <c r="BD157" s="57">
        <v>1</v>
      </c>
      <c r="BE157" s="56"/>
      <c r="BF157" s="57"/>
    </row>
    <row r="158" spans="39:98">
      <c r="BA158" s="49" t="s">
        <v>293</v>
      </c>
      <c r="BB158" s="49">
        <v>9</v>
      </c>
      <c r="BC158" s="54" t="s">
        <v>864</v>
      </c>
      <c r="BD158" s="54" t="s">
        <v>2</v>
      </c>
      <c r="BE158" s="49"/>
      <c r="BF158" s="54"/>
    </row>
    <row r="159" spans="39:98">
      <c r="BA159" s="49"/>
      <c r="BB159" s="49"/>
      <c r="BC159" s="54">
        <v>1</v>
      </c>
      <c r="BD159" s="54">
        <v>0</v>
      </c>
      <c r="BE159" s="49"/>
      <c r="BF159" s="54"/>
    </row>
    <row r="160" spans="39:98">
      <c r="BA160" s="49" t="s">
        <v>784</v>
      </c>
      <c r="BB160" s="49">
        <v>10</v>
      </c>
      <c r="BC160" s="54" t="s">
        <v>588</v>
      </c>
      <c r="BD160" s="54" t="s">
        <v>84</v>
      </c>
      <c r="BE160" s="49"/>
      <c r="BF160" s="54"/>
    </row>
    <row r="161" spans="53:58">
      <c r="BA161" s="49"/>
      <c r="BB161" s="49"/>
      <c r="BC161" s="54">
        <v>1</v>
      </c>
      <c r="BD161" s="54">
        <v>0</v>
      </c>
      <c r="BE161" s="49"/>
      <c r="BF161" s="54"/>
    </row>
    <row r="162" spans="53:58">
      <c r="BA162" s="49" t="s">
        <v>298</v>
      </c>
      <c r="BB162" s="49">
        <v>11</v>
      </c>
      <c r="BC162" s="54" t="s">
        <v>123</v>
      </c>
      <c r="BD162" s="54" t="s">
        <v>24</v>
      </c>
      <c r="BE162" s="49"/>
      <c r="BF162" s="54"/>
    </row>
    <row r="163" spans="53:58">
      <c r="BA163" s="49"/>
      <c r="BB163" s="49"/>
      <c r="BC163" s="54">
        <v>1</v>
      </c>
      <c r="BD163" s="54">
        <v>0</v>
      </c>
      <c r="BE163" s="49"/>
      <c r="BF163" s="54"/>
    </row>
    <row r="164" spans="53:58">
      <c r="BA164" s="49" t="s">
        <v>296</v>
      </c>
      <c r="BB164" s="49">
        <v>12</v>
      </c>
      <c r="BC164" s="54" t="s">
        <v>3</v>
      </c>
      <c r="BD164" s="54" t="s">
        <v>96</v>
      </c>
      <c r="BE164" s="49"/>
      <c r="BF164" s="54"/>
    </row>
    <row r="165" spans="53:58">
      <c r="BA165" s="56"/>
      <c r="BB165" s="56"/>
      <c r="BC165" s="57">
        <v>0</v>
      </c>
      <c r="BD165" s="57">
        <v>1</v>
      </c>
      <c r="BE165" s="56"/>
      <c r="BF165" s="57"/>
    </row>
    <row r="166" spans="53:58">
      <c r="BA166" s="49" t="s">
        <v>786</v>
      </c>
      <c r="BB166" s="49">
        <v>13</v>
      </c>
      <c r="BC166" s="54" t="s">
        <v>864</v>
      </c>
      <c r="BD166" s="54" t="s">
        <v>532</v>
      </c>
      <c r="BE166" s="49"/>
      <c r="BF166" s="54"/>
    </row>
    <row r="167" spans="53:58">
      <c r="BA167" s="49"/>
      <c r="BB167" s="49"/>
      <c r="BC167" s="54">
        <v>1</v>
      </c>
      <c r="BD167" s="54">
        <v>0</v>
      </c>
      <c r="BE167" s="49"/>
      <c r="BF167" s="54"/>
    </row>
    <row r="168" spans="53:58">
      <c r="BA168" s="49" t="s">
        <v>787</v>
      </c>
      <c r="BB168" s="49">
        <v>14</v>
      </c>
      <c r="BC168" s="54" t="s">
        <v>46</v>
      </c>
      <c r="BD168" s="54" t="s">
        <v>96</v>
      </c>
      <c r="BE168" s="49"/>
      <c r="BF168" s="54"/>
    </row>
    <row r="169" spans="53:58">
      <c r="BA169" s="56"/>
      <c r="BB169" s="56"/>
      <c r="BC169" s="57">
        <v>0</v>
      </c>
      <c r="BD169" s="57">
        <v>1</v>
      </c>
      <c r="BE169" s="56"/>
      <c r="BF169" s="57"/>
    </row>
    <row r="170" spans="53:58">
      <c r="BA170" s="49" t="s">
        <v>841</v>
      </c>
      <c r="BB170" s="49">
        <v>15</v>
      </c>
      <c r="BC170" s="54" t="s">
        <v>865</v>
      </c>
      <c r="BD170" s="54" t="s">
        <v>96</v>
      </c>
      <c r="BE170" s="49"/>
      <c r="BF170" s="54"/>
    </row>
    <row r="171" spans="53:58">
      <c r="BA171" s="49"/>
      <c r="BB171" s="49"/>
      <c r="BC171" s="54">
        <v>0</v>
      </c>
      <c r="BD171" s="54">
        <v>1</v>
      </c>
      <c r="BE171" s="49"/>
      <c r="BF171" s="54"/>
    </row>
    <row r="172" spans="53:58">
      <c r="BA172" s="97" t="s">
        <v>279</v>
      </c>
      <c r="BB172" s="97">
        <v>1</v>
      </c>
      <c r="BC172" s="98" t="s">
        <v>866</v>
      </c>
      <c r="BD172" s="98" t="s">
        <v>36</v>
      </c>
      <c r="BE172" s="97"/>
      <c r="BF172" s="98" t="s">
        <v>406</v>
      </c>
    </row>
    <row r="173" spans="53:58">
      <c r="BA173" s="97"/>
      <c r="BB173" s="97"/>
      <c r="BC173" s="98">
        <v>1</v>
      </c>
      <c r="BD173" s="98">
        <v>0</v>
      </c>
      <c r="BE173" s="97"/>
      <c r="BF173" s="98"/>
    </row>
    <row r="174" spans="53:58">
      <c r="BA174" s="97" t="s">
        <v>280</v>
      </c>
      <c r="BB174" s="97">
        <v>2</v>
      </c>
      <c r="BC174" s="98" t="s">
        <v>195</v>
      </c>
      <c r="BD174" s="98" t="s">
        <v>58</v>
      </c>
      <c r="BE174" s="97"/>
      <c r="BF174" s="98"/>
    </row>
    <row r="175" spans="53:58">
      <c r="BA175" s="97"/>
      <c r="BB175" s="97"/>
      <c r="BC175" s="98">
        <v>1</v>
      </c>
      <c r="BD175" s="98">
        <v>0</v>
      </c>
      <c r="BE175" s="97"/>
      <c r="BF175" s="98"/>
    </row>
    <row r="176" spans="53:58">
      <c r="BA176" s="97" t="s">
        <v>281</v>
      </c>
      <c r="BB176" s="97">
        <v>3</v>
      </c>
      <c r="BC176" s="98" t="s">
        <v>72</v>
      </c>
      <c r="BD176" s="98" t="s">
        <v>43</v>
      </c>
      <c r="BE176" s="97"/>
      <c r="BF176" s="98"/>
    </row>
    <row r="177" spans="53:58">
      <c r="BA177" s="97"/>
      <c r="BB177" s="97"/>
      <c r="BC177" s="98">
        <v>1</v>
      </c>
      <c r="BD177" s="98">
        <v>0</v>
      </c>
      <c r="BE177" s="97"/>
      <c r="BF177" s="98"/>
    </row>
    <row r="178" spans="53:58">
      <c r="BA178" s="97" t="s">
        <v>282</v>
      </c>
      <c r="BB178" s="97">
        <v>4</v>
      </c>
      <c r="BC178" s="98" t="s">
        <v>574</v>
      </c>
      <c r="BD178" s="98" t="s">
        <v>22</v>
      </c>
      <c r="BE178" s="97"/>
      <c r="BF178" s="98"/>
    </row>
    <row r="179" spans="53:58">
      <c r="BA179" s="97"/>
      <c r="BB179" s="97"/>
      <c r="BC179" s="98">
        <v>1</v>
      </c>
      <c r="BD179" s="98">
        <v>0</v>
      </c>
      <c r="BE179" s="97"/>
      <c r="BF179" s="98"/>
    </row>
    <row r="180" spans="53:58">
      <c r="BA180" s="97" t="s">
        <v>283</v>
      </c>
      <c r="BB180" s="97">
        <v>5</v>
      </c>
      <c r="BC180" s="98" t="s">
        <v>557</v>
      </c>
      <c r="BD180" s="98" t="s">
        <v>65</v>
      </c>
      <c r="BE180" s="97"/>
      <c r="BF180" s="98"/>
    </row>
    <row r="181" spans="53:58">
      <c r="BA181" s="97"/>
      <c r="BB181" s="97"/>
      <c r="BC181" s="98">
        <v>1</v>
      </c>
      <c r="BD181" s="98">
        <v>0</v>
      </c>
      <c r="BE181" s="97"/>
      <c r="BF181" s="98"/>
    </row>
    <row r="182" spans="53:58">
      <c r="BA182" s="97" t="s">
        <v>284</v>
      </c>
      <c r="BB182" s="97">
        <v>6</v>
      </c>
      <c r="BC182" s="98" t="s">
        <v>551</v>
      </c>
      <c r="BD182" s="98" t="s">
        <v>50</v>
      </c>
      <c r="BE182" s="97"/>
      <c r="BF182" s="98"/>
    </row>
    <row r="183" spans="53:58">
      <c r="BA183" s="97"/>
      <c r="BB183" s="97"/>
      <c r="BC183" s="98">
        <v>1</v>
      </c>
      <c r="BD183" s="98">
        <v>0</v>
      </c>
      <c r="BE183" s="97"/>
      <c r="BF183" s="98"/>
    </row>
    <row r="184" spans="53:58">
      <c r="BA184" s="97" t="s">
        <v>285</v>
      </c>
      <c r="BB184" s="97">
        <v>7</v>
      </c>
      <c r="BC184" s="98" t="s">
        <v>138</v>
      </c>
      <c r="BD184" s="98" t="s">
        <v>55</v>
      </c>
      <c r="BE184" s="97"/>
      <c r="BF184" s="98"/>
    </row>
    <row r="185" spans="53:58">
      <c r="BA185" s="99"/>
      <c r="BB185" s="97"/>
      <c r="BC185" s="98">
        <v>1</v>
      </c>
      <c r="BD185" s="98">
        <v>0</v>
      </c>
      <c r="BE185" s="97"/>
      <c r="BF185" s="98"/>
    </row>
    <row r="186" spans="53:58">
      <c r="BA186" s="97" t="s">
        <v>286</v>
      </c>
      <c r="BB186" s="97">
        <v>8</v>
      </c>
      <c r="BC186" s="98" t="s">
        <v>721</v>
      </c>
      <c r="BD186" s="98" t="s">
        <v>141</v>
      </c>
      <c r="BE186" s="97"/>
      <c r="BF186" s="98"/>
    </row>
    <row r="187" spans="53:58">
      <c r="BA187" s="100"/>
      <c r="BB187" s="100"/>
      <c r="BC187" s="101">
        <v>0</v>
      </c>
      <c r="BD187" s="101">
        <v>1</v>
      </c>
      <c r="BE187" s="100"/>
      <c r="BF187" s="101"/>
    </row>
    <row r="188" spans="53:58">
      <c r="BA188" s="97" t="s">
        <v>293</v>
      </c>
      <c r="BB188" s="97">
        <v>9</v>
      </c>
      <c r="BC188" s="98" t="s">
        <v>867</v>
      </c>
      <c r="BD188" s="98" t="s">
        <v>141</v>
      </c>
      <c r="BE188" s="97"/>
      <c r="BF188" s="98"/>
    </row>
    <row r="189" spans="53:58">
      <c r="BA189" s="97"/>
      <c r="BB189" s="97"/>
      <c r="BC189" s="98">
        <v>0</v>
      </c>
      <c r="BD189" s="98">
        <v>1</v>
      </c>
      <c r="BE189" s="97"/>
      <c r="BF189" s="98"/>
    </row>
    <row r="190" spans="53:58">
      <c r="BA190" s="99" t="s">
        <v>784</v>
      </c>
      <c r="BB190" s="97">
        <v>10</v>
      </c>
      <c r="BC190" s="98" t="s">
        <v>19</v>
      </c>
      <c r="BD190" s="98" t="s">
        <v>557</v>
      </c>
      <c r="BE190" s="97"/>
      <c r="BF190" s="98"/>
    </row>
    <row r="191" spans="53:58">
      <c r="BA191" s="97"/>
      <c r="BB191" s="97"/>
      <c r="BC191" s="98">
        <v>0</v>
      </c>
      <c r="BD191" s="98">
        <v>1</v>
      </c>
      <c r="BE191" s="97"/>
      <c r="BF191" s="98"/>
    </row>
    <row r="192" spans="53:58">
      <c r="BA192" s="97" t="s">
        <v>298</v>
      </c>
      <c r="BB192" s="97">
        <v>11</v>
      </c>
      <c r="BC192" s="98" t="s">
        <v>72</v>
      </c>
      <c r="BD192" s="98" t="s">
        <v>7</v>
      </c>
      <c r="BE192" s="97"/>
      <c r="BF192" s="98"/>
    </row>
    <row r="193" spans="53:58">
      <c r="BA193" s="97" t="s">
        <v>789</v>
      </c>
      <c r="BB193" s="97"/>
      <c r="BC193" s="98">
        <v>1</v>
      </c>
      <c r="BD193" s="98">
        <v>0</v>
      </c>
      <c r="BE193" s="97"/>
      <c r="BF193" s="98"/>
    </row>
    <row r="194" spans="53:58">
      <c r="BA194" s="97" t="s">
        <v>296</v>
      </c>
      <c r="BB194" s="97">
        <v>12</v>
      </c>
      <c r="BC194" s="98" t="s">
        <v>195</v>
      </c>
      <c r="BD194" s="98" t="s">
        <v>63</v>
      </c>
      <c r="BE194" s="97"/>
      <c r="BF194" s="98"/>
    </row>
    <row r="195" spans="53:58">
      <c r="BA195" s="100"/>
      <c r="BB195" s="100"/>
      <c r="BC195" s="101">
        <v>1</v>
      </c>
      <c r="BD195" s="101">
        <v>0</v>
      </c>
      <c r="BE195" s="100"/>
      <c r="BF195" s="101"/>
    </row>
    <row r="196" spans="53:58">
      <c r="BA196" s="97" t="s">
        <v>788</v>
      </c>
      <c r="BB196" s="97">
        <v>13</v>
      </c>
      <c r="BC196" s="98" t="s">
        <v>12</v>
      </c>
      <c r="BD196" s="98" t="s">
        <v>141</v>
      </c>
      <c r="BE196" s="97"/>
      <c r="BF196" s="98"/>
    </row>
    <row r="197" spans="53:58">
      <c r="BA197" s="97"/>
      <c r="BB197" s="97"/>
      <c r="BC197" s="98">
        <v>0</v>
      </c>
      <c r="BD197" s="98">
        <v>1</v>
      </c>
      <c r="BE197" s="97"/>
      <c r="BF197" s="98"/>
    </row>
    <row r="198" spans="53:58">
      <c r="BA198" s="97" t="s">
        <v>785</v>
      </c>
      <c r="BB198" s="97">
        <v>14</v>
      </c>
      <c r="BC198" s="98" t="s">
        <v>45</v>
      </c>
      <c r="BD198" s="98" t="s">
        <v>72</v>
      </c>
      <c r="BE198" s="97"/>
      <c r="BF198" s="98"/>
    </row>
    <row r="199" spans="53:58">
      <c r="BA199" s="100"/>
      <c r="BB199" s="100"/>
      <c r="BC199" s="101">
        <v>0</v>
      </c>
      <c r="BD199" s="101">
        <v>1</v>
      </c>
      <c r="BE199" s="100"/>
      <c r="BF199" s="101"/>
    </row>
    <row r="200" spans="53:58">
      <c r="BA200" s="97" t="s">
        <v>842</v>
      </c>
      <c r="BB200" s="97">
        <v>15</v>
      </c>
      <c r="BC200" s="98" t="s">
        <v>72</v>
      </c>
      <c r="BD200" s="98" t="s">
        <v>61</v>
      </c>
      <c r="BE200" s="97"/>
      <c r="BF200" s="98"/>
    </row>
    <row r="201" spans="53:58">
      <c r="BA201" s="97"/>
      <c r="BB201" s="97"/>
      <c r="BC201" s="98">
        <v>1</v>
      </c>
      <c r="BD201" s="98">
        <v>0</v>
      </c>
      <c r="BE201" s="97"/>
      <c r="BF201" s="9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0A70-7CA0-1943-9194-B76ED31ADF89}">
  <dimension ref="A1:C78"/>
  <sheetViews>
    <sheetView topLeftCell="A43" workbookViewId="0">
      <selection activeCell="B65" sqref="B65"/>
    </sheetView>
  </sheetViews>
  <sheetFormatPr defaultColWidth="11" defaultRowHeight="15.75"/>
  <cols>
    <col min="1" max="1" width="15.6875" bestFit="1" customWidth="1"/>
    <col min="2" max="2" width="5.5" bestFit="1" customWidth="1"/>
    <col min="3" max="3" width="4.5" bestFit="1" customWidth="1"/>
    <col min="5" max="5" width="17.3125" bestFit="1" customWidth="1"/>
    <col min="6" max="6" width="5.5" bestFit="1" customWidth="1"/>
    <col min="7" max="7" width="4.5" bestFit="1" customWidth="1"/>
    <col min="9" max="9" width="18.1875" bestFit="1" customWidth="1"/>
    <col min="10" max="10" width="5.5" bestFit="1" customWidth="1"/>
    <col min="11" max="11" width="4.5" bestFit="1" customWidth="1"/>
  </cols>
  <sheetData>
    <row r="1" spans="1:3">
      <c r="A1" t="s">
        <v>86</v>
      </c>
      <c r="B1" s="13" t="s">
        <v>79</v>
      </c>
      <c r="C1" s="14" t="s">
        <v>80</v>
      </c>
    </row>
    <row r="2" spans="1:3">
      <c r="A2" t="s">
        <v>42</v>
      </c>
      <c r="B2" s="15">
        <f>COUNTIF('Season 7'!A:AAO, CONCATENATE(TRIM(A2), " ","-"," ","W*"))</f>
        <v>16</v>
      </c>
      <c r="C2" s="16">
        <f>SUM(COUNTIF('Season 7'!A:AAO, TRIM(A2)), COUNTIF('Season 7'!A:AAO, TRIM(A2) &amp; " (Defending)"), COUNTIF('Season 7'!A:AAO, TRIM(A2) &amp; " (PL)"), , COUNTIF('Season 7'!A:AAO, TRIM(A2) &amp; " (PL) (Defending)"))</f>
        <v>5</v>
      </c>
    </row>
    <row r="3" spans="1:3">
      <c r="A3" t="s">
        <v>14</v>
      </c>
      <c r="B3" s="15">
        <f>COUNTIF('Season 7'!A:AAO, CONCATENATE(TRIM(A3), " ","-"," ","W*"))</f>
        <v>14</v>
      </c>
      <c r="C3" s="16">
        <f>SUM(COUNTIF('Season 7'!A:AAO, TRIM(A3)), COUNTIF('Season 7'!A:AAO, TRIM(A3) &amp; " (Defending)"), COUNTIF('Season 7'!A:AAO, TRIM(A3) &amp; " (PL)"), , COUNTIF('Season 7'!A:AAO, TRIM(A3) &amp; " (PL) (Defending)"))</f>
        <v>6</v>
      </c>
    </row>
    <row r="4" spans="1:3">
      <c r="A4" t="s">
        <v>56</v>
      </c>
      <c r="B4" s="15">
        <f>COUNTIF('Season 7'!A:AAO, CONCATENATE(TRIM(A4), " ","-"," ","W*"))</f>
        <v>14</v>
      </c>
      <c r="C4" s="16">
        <f>SUM(COUNTIF('Season 7'!A:AAO, TRIM(A4)), COUNTIF('Season 7'!A:AAO, TRIM(A4) &amp; " (Defending)"), COUNTIF('Season 7'!A:AAO, TRIM(A4) &amp; " (PL)"), , COUNTIF('Season 7'!A:AAO, TRIM(A4) &amp; " (PL) (Defending)"))</f>
        <v>6</v>
      </c>
    </row>
    <row r="5" spans="1:3">
      <c r="A5" t="s">
        <v>51</v>
      </c>
      <c r="B5" s="15">
        <f>COUNTIF('Season 7'!A:AAO, CONCATENATE(TRIM(A5), " ","-"," ","W*"))</f>
        <v>13</v>
      </c>
      <c r="C5" s="16">
        <f>SUM(COUNTIF('Season 7'!A:AAO, TRIM(A5)), COUNTIF('Season 7'!A:AAO, TRIM(A5) &amp; " (Defending)"), COUNTIF('Season 7'!A:AAO, TRIM(A5) &amp; " (PL)"), , COUNTIF('Season 7'!A:AAO, TRIM(A5) &amp; " (PL) (Defending)"))</f>
        <v>7</v>
      </c>
    </row>
    <row r="6" spans="1:3">
      <c r="A6" t="s">
        <v>49</v>
      </c>
      <c r="B6" s="15">
        <f>COUNTIF('Season 7'!A:AAO, CONCATENATE(TRIM(A6), " ","-"," ","W*"))</f>
        <v>13</v>
      </c>
      <c r="C6" s="16">
        <f>SUM(COUNTIF('Season 7'!A:AAO, TRIM(A6)), COUNTIF('Season 7'!A:AAO, TRIM(A6) &amp; " (Defending)"), COUNTIF('Season 7'!A:AAO, TRIM(A6) &amp; " (PL)"), , COUNTIF('Season 7'!A:AAO, TRIM(A6) &amp; " (PL) (Defending)"))</f>
        <v>7</v>
      </c>
    </row>
    <row r="7" spans="1:3">
      <c r="A7" t="s">
        <v>64</v>
      </c>
      <c r="B7" s="15">
        <f>COUNTIF('Season 7'!A:AAO, CONCATENATE(TRIM(A7), " ","-"," ","W*"))</f>
        <v>12</v>
      </c>
      <c r="C7" s="16">
        <f>SUM(COUNTIF('Season 7'!A:AAO, TRIM(A7)), COUNTIF('Season 7'!A:AAO, TRIM(A7) &amp; " (Defending)"), COUNTIF('Season 7'!A:AAO, TRIM(A7) &amp; " (PL)"), , COUNTIF('Season 7'!A:AAO, TRIM(A7) &amp; " (PL) (Defending)"))</f>
        <v>10</v>
      </c>
    </row>
    <row r="8" spans="1:3">
      <c r="A8" s="51" t="s">
        <v>19</v>
      </c>
      <c r="B8" s="15">
        <f>COUNTIF('Season 7'!A:AAO, CONCATENATE(TRIM(A8), " ","-"," ","W*"))</f>
        <v>12</v>
      </c>
      <c r="C8" s="16">
        <f>SUM(COUNTIF('Season 7'!A:AAO, TRIM(A8)), COUNTIF('Season 7'!A:AAO, TRIM(A8) &amp; " (Defending)"), COUNTIF('Season 7'!A:AAO, TRIM(A8) &amp; " (PL)"), , COUNTIF('Season 7'!A:AAO, TRIM(A8) &amp; " (PL) (Defending)"))</f>
        <v>9</v>
      </c>
    </row>
    <row r="9" spans="1:3">
      <c r="A9" t="s">
        <v>60</v>
      </c>
      <c r="B9" s="15">
        <f>COUNTIF('Season 7'!A:AAO, CONCATENATE(TRIM(A9), " ","-"," ","W*"))</f>
        <v>13</v>
      </c>
      <c r="C9" s="16">
        <f>SUM(COUNTIF('Season 7'!A:AAO, TRIM(A9)), COUNTIF('Season 7'!A:AAO, TRIM(A9) &amp; " (Defending)"), COUNTIF('Season 7'!A:AAO, TRIM(A9) &amp; " (PL)"), , COUNTIF('Season 7'!A:AAO, TRIM(A9) &amp; " (PL) (Defending)"))</f>
        <v>13</v>
      </c>
    </row>
    <row r="10" spans="1:3">
      <c r="A10" t="s">
        <v>531</v>
      </c>
      <c r="B10" s="15">
        <f>COUNTIF('Season 7'!A:AAO, CONCATENATE(TRIM(A10), " ","-"," ","W*"))</f>
        <v>12</v>
      </c>
      <c r="C10" s="16">
        <f>SUM(COUNTIF('Season 7'!A:AAO, TRIM(A10)), COUNTIF('Season 7'!A:AAO, TRIM(A10) &amp; " (Defending)"), COUNTIF('Season 7'!A:AAO, TRIM(A10) &amp; " (PL)"), , COUNTIF('Season 7'!A:AAO, TRIM(A10) &amp; " (PL) (Defending)"))</f>
        <v>9</v>
      </c>
    </row>
    <row r="11" spans="1:3">
      <c r="A11" t="s">
        <v>47</v>
      </c>
      <c r="B11" s="15">
        <f>COUNTIF('Season 7'!A:AAO, CONCATENATE(TRIM(A11), " ","-"," ","W*"))</f>
        <v>12</v>
      </c>
      <c r="C11" s="16">
        <f>SUM(COUNTIF('Season 7'!A:AAO, TRIM(A11)), COUNTIF('Season 7'!A:AAO, TRIM(A11) &amp; " (Defending)"), COUNTIF('Season 7'!A:AAO, TRIM(A11) &amp; " (PL)"), , COUNTIF('Season 7'!A:AAO, TRIM(A11) &amp; " (PL) (Defending)"))</f>
        <v>10</v>
      </c>
    </row>
    <row r="12" spans="1:3">
      <c r="A12" t="s">
        <v>13</v>
      </c>
      <c r="B12" s="15">
        <f>COUNTIF('Season 7'!A:AAO, CONCATENATE(TRIM(A12), " ","-"," ","W*"))</f>
        <v>11</v>
      </c>
      <c r="C12" s="16">
        <f>SUM(COUNTIF('Season 7'!A:AAO, TRIM(A12)), COUNTIF('Season 7'!A:AAO, TRIM(A12) &amp; " (Defending)"), COUNTIF('Season 7'!A:AAO, TRIM(A12) &amp; " (PL)"), , COUNTIF('Season 7'!A:AAO, TRIM(A12) &amp; " (PL) (Defending)"))</f>
        <v>11</v>
      </c>
    </row>
    <row r="13" spans="1:3">
      <c r="A13" t="s">
        <v>38</v>
      </c>
      <c r="B13" s="15">
        <f>COUNTIF('Season 7'!A:AAO, CONCATENATE(TRIM(A13), " ","-"," ","W*"))</f>
        <v>11</v>
      </c>
      <c r="C13" s="16">
        <f>SUM(COUNTIF('Season 7'!A:AAO, TRIM(A13)), COUNTIF('Season 7'!A:AAO, TRIM(A13) &amp; " (Defending)"), COUNTIF('Season 7'!A:AAO, TRIM(A13) &amp; " (PL)"), , COUNTIF('Season 7'!A:AAO, TRIM(A13) &amp; " (PL) (Defending)"))</f>
        <v>11</v>
      </c>
    </row>
    <row r="14" spans="1:3">
      <c r="A14" t="s">
        <v>76</v>
      </c>
      <c r="B14" s="15">
        <f>COUNTIF('Season 7'!A:AAO, CONCATENATE(TRIM(A14), " ","-"," ","W*"))</f>
        <v>9</v>
      </c>
      <c r="C14" s="16">
        <f>SUM(COUNTIF('Season 7'!A:AAO, TRIM(A14)), COUNTIF('Season 7'!A:AAO, TRIM(A14) &amp; " (Defending)"), COUNTIF('Season 7'!A:AAO, TRIM(A14) &amp; " (PL)"), , COUNTIF('Season 7'!A:AAO, TRIM(A14) &amp; " (PL) (Defending)"))</f>
        <v>12</v>
      </c>
    </row>
    <row r="15" spans="1:3">
      <c r="A15" s="51" t="s">
        <v>65</v>
      </c>
      <c r="B15" s="15">
        <f>COUNTIF('Season 7'!A:AAO, CONCATENATE(TRIM(A15), " ","-"," ","W*"))</f>
        <v>8</v>
      </c>
      <c r="C15" s="16">
        <f>SUM(COUNTIF('Season 7'!A:AAO, TRIM(A15)), COUNTIF('Season 7'!A:AAO, TRIM(A15) &amp; " (Defending)"), COUNTIF('Season 7'!A:AAO, TRIM(A15) &amp; " (PL)"), , COUNTIF('Season 7'!A:AAO, TRIM(A15) &amp; " (PL) (Defending)"))</f>
        <v>10</v>
      </c>
    </row>
    <row r="16" spans="1:3">
      <c r="A16" t="s">
        <v>37</v>
      </c>
      <c r="B16" s="15">
        <f>COUNTIF('Season 7'!A:AAO, CONCATENATE(TRIM(A16), " ","-"," ","W*"))</f>
        <v>7</v>
      </c>
      <c r="C16" s="16">
        <f>SUM(COUNTIF('Season 7'!A:AAO, TRIM(A16)), COUNTIF('Season 7'!A:AAO, TRIM(A16) &amp; " (Defending)"), COUNTIF('Season 7'!A:AAO, TRIM(A16) &amp; " (PL)"), , COUNTIF('Season 7'!A:AAO, TRIM(A16) &amp; " (PL) (Defending)"))</f>
        <v>12</v>
      </c>
    </row>
    <row r="17" spans="1:3">
      <c r="A17" t="s">
        <v>54</v>
      </c>
      <c r="B17" s="15">
        <f>COUNTIF('Season 7'!A:AAO, CONCATENATE(TRIM(A17), " ","-"," ","W*"))</f>
        <v>6</v>
      </c>
      <c r="C17" s="16">
        <f>SUM(COUNTIF('Season 7'!A:AAO, TRIM(A17)), COUNTIF('Season 7'!A:AAO, TRIM(A17) &amp; " (Defending)"), COUNTIF('Season 7'!A:AAO, TRIM(A17) &amp; " (PL)"), , COUNTIF('Season 7'!A:AAO, TRIM(A17) &amp; " (PL) (Defending)"))</f>
        <v>13</v>
      </c>
    </row>
    <row r="18" spans="1:3">
      <c r="A18" t="s">
        <v>57</v>
      </c>
      <c r="B18" s="15">
        <f>COUNTIF('Season 7'!A:AAO, CONCATENATE(TRIM(A18), " ","-"," ","W*"))</f>
        <v>5</v>
      </c>
      <c r="C18" s="16">
        <f>SUM(COUNTIF('Season 7'!A:AAO, TRIM(A18)), COUNTIF('Season 7'!A:AAO, TRIM(A18) &amp; " (Defending)"), COUNTIF('Season 7'!A:AAO, TRIM(A18) &amp; " (PL)"), , COUNTIF('Season 7'!A:AAO, TRIM(A18) &amp; " (PL) (Defending)"))</f>
        <v>12</v>
      </c>
    </row>
    <row r="19" spans="1:3">
      <c r="A19" t="s">
        <v>291</v>
      </c>
      <c r="B19" s="15">
        <f>COUNTIF('Season 7'!A:AAO, CONCATENATE(TRIM(A19), " ","-"," ","W*"))</f>
        <v>5</v>
      </c>
      <c r="C19" s="16">
        <f>SUM(COUNTIF('Season 7'!A:AAO, TRIM(A19)), COUNTIF('Season 7'!A:AAO, TRIM(A19) &amp; " (Defending)"), COUNTIF('Season 7'!A:AAO, TRIM(A19) &amp; " (PL)"), , COUNTIF('Season 7'!A:AAO, TRIM(A19) &amp; " (PL) (Defending)"))</f>
        <v>8</v>
      </c>
    </row>
    <row r="20" spans="1:3">
      <c r="A20" t="s">
        <v>8</v>
      </c>
      <c r="B20" s="15">
        <f>COUNTIF('Season 7'!A:AAO, CONCATENATE(TRIM(A20), " ","-"," ","W*"))</f>
        <v>5</v>
      </c>
      <c r="C20" s="16">
        <f>SUM(COUNTIF('Season 7'!A:AAO, TRIM(A20)), COUNTIF('Season 7'!A:AAO, TRIM(A20) &amp; " (Defending)"), COUNTIF('Season 7'!A:AAO, TRIM(A20) &amp; " (PL)"), , COUNTIF('Season 7'!A:AAO, TRIM(A20) &amp; " (PL) (Defending)"))</f>
        <v>12</v>
      </c>
    </row>
    <row r="21" spans="1:3">
      <c r="A21" t="s">
        <v>533</v>
      </c>
      <c r="B21" s="15">
        <f>COUNTIF('Season 7'!A:AAO, CONCATENATE(TRIM(A21), " ","-"," ","W*"))</f>
        <v>4</v>
      </c>
      <c r="C21" s="16">
        <f>SUM(COUNTIF('Season 7'!A:AAO, TRIM(A21)), COUNTIF('Season 7'!A:AAO, TRIM(A21) &amp; " (Defending)"), COUNTIF('Season 7'!A:AAO, TRIM(A21) &amp; " (PL)"), , COUNTIF('Season 7'!A:AAO, TRIM(A21) &amp; " (PL) (Defending)"))</f>
        <v>10</v>
      </c>
    </row>
    <row r="22" spans="1:3">
      <c r="A22" t="s">
        <v>16</v>
      </c>
      <c r="B22" s="15">
        <f>COUNTIF('Season 7'!A:AAO, CONCATENATE(TRIM(A22), " ","-"," ","W*"))</f>
        <v>4</v>
      </c>
      <c r="C22" s="16">
        <f>SUM(COUNTIF('Season 7'!A:AAO, TRIM(A22)), COUNTIF('Season 7'!A:AAO, TRIM(A22) &amp; " (Defending)"), COUNTIF('Season 7'!A:AAO, TRIM(A22) &amp; " (PL)"), , COUNTIF('Season 7'!A:AAO, TRIM(A22) &amp; " (PL) (Defending)"))</f>
        <v>11</v>
      </c>
    </row>
    <row r="23" spans="1:3">
      <c r="A23" t="s">
        <v>4</v>
      </c>
      <c r="B23" s="15">
        <f>COUNTIF('Season 7'!A:AAO, CONCATENATE(TRIM(A23), " ","-"," ","W*"))</f>
        <v>3</v>
      </c>
      <c r="C23" s="16">
        <f>SUM(COUNTIF('Season 7'!A:AAO, TRIM(A23)), COUNTIF('Season 7'!A:AAO, TRIM(A23) &amp; " (Defending)"), COUNTIF('Season 7'!A:AAO, TRIM(A23) &amp; " (PL)"), , COUNTIF('Season 7'!A:AAO, TRIM(A23) &amp; " (PL) (Defending)"))</f>
        <v>10</v>
      </c>
    </row>
    <row r="24" spans="1:3">
      <c r="A24" t="s">
        <v>20</v>
      </c>
      <c r="B24" s="15">
        <f>COUNTIF('Season 7'!A:AAO, CONCATENATE(TRIM(A24), " ","-"," ","W*"))</f>
        <v>2</v>
      </c>
      <c r="C24" s="16">
        <f>SUM(COUNTIF('Season 7'!A:AAO, TRIM(A24)), COUNTIF('Season 7'!A:AAO, TRIM(A24) &amp; " (Defending)"), COUNTIF('Season 7'!A:AAO, TRIM(A24) &amp; " (PL)"), , COUNTIF('Season 7'!A:AAO, TRIM(A24) &amp; " (PL) (Defending)"))</f>
        <v>9</v>
      </c>
    </row>
    <row r="25" spans="1:3">
      <c r="A25" t="s">
        <v>48</v>
      </c>
      <c r="B25" s="15">
        <f>COUNTIF('Season 7'!A:AAO, CONCATENATE(TRIM(A25), " ","-"," ","W*"))</f>
        <v>2</v>
      </c>
      <c r="C25" s="16">
        <f>SUM(COUNTIF('Season 7'!A:AAO, TRIM(A25)), COUNTIF('Season 7'!A:AAO, TRIM(A25) &amp; " (Defending)"), COUNTIF('Season 7'!A:AAO, TRIM(A25) &amp; " (PL)"), , COUNTIF('Season 7'!A:AAO, TRIM(A25) &amp; " (PL) (Defending)"))</f>
        <v>7</v>
      </c>
    </row>
    <row r="26" spans="1:3">
      <c r="A26" t="s">
        <v>18</v>
      </c>
      <c r="B26" s="15">
        <f>COUNTIF('Season 7'!A:AAO, CONCATENATE(TRIM(A26), " ","-"," ","W*"))</f>
        <v>0</v>
      </c>
      <c r="C26" s="16">
        <f>SUM(COUNTIF('Season 7'!A:AAO, TRIM(A26)), COUNTIF('Season 7'!A:AAO, TRIM(A26) &amp; " (Defending)"), COUNTIF('Season 7'!A:AAO, TRIM(A26) &amp; " (PL)"), , COUNTIF('Season 7'!A:AAO, TRIM(A26) &amp; " (PL) (Defending)"))</f>
        <v>9</v>
      </c>
    </row>
    <row r="28" spans="1:3">
      <c r="A28" t="s">
        <v>85</v>
      </c>
      <c r="B28" s="13" t="s">
        <v>79</v>
      </c>
      <c r="C28" s="14" t="s">
        <v>80</v>
      </c>
    </row>
    <row r="29" spans="1:3">
      <c r="A29" t="s">
        <v>67</v>
      </c>
      <c r="B29" s="15">
        <f>COUNTIF('Season 7'!A:AAO, CONCATENATE(TRIM(A29), " ","-"," ","W*"))</f>
        <v>21</v>
      </c>
      <c r="C29" s="16">
        <f>SUM(COUNTIF('Season 7'!A:AAO, TRIM(A29)), COUNTIF('Season 7'!A:AAO, TRIM(A29) &amp; " (Defending)"), , COUNTIF('Season 7'!A:AAO, TRIM(A29) &amp; " (PL)"), COUNTIF('Season 7'!A:AAO, TRIM(A29) &amp; " (PL) (Defending)"))</f>
        <v>4</v>
      </c>
    </row>
    <row r="30" spans="1:3">
      <c r="A30" t="s">
        <v>39</v>
      </c>
      <c r="B30" s="15">
        <f>COUNTIF('Season 7'!A:AAO, CONCATENATE(TRIM(A30), " ","-"," ","W*"))</f>
        <v>18</v>
      </c>
      <c r="C30" s="16">
        <f>SUM(COUNTIF('Season 7'!A:AAO, TRIM(A30)), COUNTIF('Season 7'!A:AAO, TRIM(A30) &amp; " (Defending)"), , COUNTIF('Season 7'!A:AAO, TRIM(A30) &amp; " (PL)"), COUNTIF('Season 7'!A:AAO, TRIM(A30) &amp; " (PL) (Defending)"))</f>
        <v>7</v>
      </c>
    </row>
    <row r="31" spans="1:3">
      <c r="A31" t="s">
        <v>446</v>
      </c>
      <c r="B31" s="15">
        <f>COUNTIF('Season 7'!A:AAO, CONCATENATE(TRIM(A31), " ","-"," ","W*"))</f>
        <v>16</v>
      </c>
      <c r="C31" s="16">
        <f>SUM(COUNTIF('Season 7'!A:AAO, TRIM(A31)), COUNTIF('Season 7'!A:AAO, TRIM(A31) &amp; " (Defending)"), , COUNTIF('Season 7'!A:AAO, TRIM(A31) &amp; " (PL)"), COUNTIF('Season 7'!A:AAO, TRIM(A31) &amp; " (PL) (Defending)"))</f>
        <v>2</v>
      </c>
    </row>
    <row r="32" spans="1:3">
      <c r="A32" t="s">
        <v>46</v>
      </c>
      <c r="B32" s="15">
        <f>COUNTIF('Season 7'!A:AAO, CONCATENATE(TRIM(A32), " ","-"," ","W*"))</f>
        <v>15</v>
      </c>
      <c r="C32" s="16">
        <f>SUM(COUNTIF('Season 7'!A:AAO, TRIM(A32)), COUNTIF('Season 7'!A:AAO, TRIM(A32) &amp; " (Defending)"), , COUNTIF('Season 7'!A:AAO, TRIM(A32) &amp; " (PL)"), COUNTIF('Season 7'!A:AAO, TRIM(A32) &amp; " (PL) (Defending)"))</f>
        <v>10</v>
      </c>
    </row>
    <row r="33" spans="1:3">
      <c r="A33" t="s">
        <v>2</v>
      </c>
      <c r="B33" s="15">
        <f>COUNTIF('Season 7'!A:AAO, CONCATENATE(TRIM(A33), " ","-"," ","W*"))</f>
        <v>14</v>
      </c>
      <c r="C33" s="16">
        <f>SUM(COUNTIF('Season 7'!A:AAO, TRIM(A33)), COUNTIF('Season 7'!A:AAO, TRIM(A33) &amp; " (Defending)"), , COUNTIF('Season 7'!A:AAO, TRIM(A33) &amp; " (PL)"), COUNTIF('Season 7'!A:AAO, TRIM(A33) &amp; " (PL) (Defending)"))</f>
        <v>6</v>
      </c>
    </row>
    <row r="34" spans="1:3">
      <c r="A34" t="s">
        <v>532</v>
      </c>
      <c r="B34" s="15">
        <f>COUNTIF('Season 7'!A:AAO, CONCATENATE(TRIM(A34), " ","-"," ","W*"))</f>
        <v>12</v>
      </c>
      <c r="C34" s="16">
        <f>SUM(COUNTIF('Season 7'!A:AAO, TRIM(A34)), COUNTIF('Season 7'!A:AAO, TRIM(A34) &amp; " (Defending)"), , COUNTIF('Season 7'!A:AAO, TRIM(A34) &amp; " (PL)"), COUNTIF('Season 7'!A:AAO, TRIM(A34) &amp; " (PL) (Defending)"))</f>
        <v>11</v>
      </c>
    </row>
    <row r="35" spans="1:3">
      <c r="A35" t="s">
        <v>84</v>
      </c>
      <c r="B35" s="15">
        <f>COUNTIF('Season 7'!A:AAO, CONCATENATE(TRIM(A35), " ","-"," ","W*"))</f>
        <v>10</v>
      </c>
      <c r="C35" s="16">
        <f>SUM(COUNTIF('Season 7'!A:AAO, TRIM(A35)), COUNTIF('Season 7'!A:AAO, TRIM(A35) &amp; " (Defending)"), , COUNTIF('Season 7'!A:AAO, TRIM(A35) &amp; " (PL)"), COUNTIF('Season 7'!A:AAO, TRIM(A35) &amp; " (PL) (Defending)"))</f>
        <v>9</v>
      </c>
    </row>
    <row r="36" spans="1:3">
      <c r="A36" t="s">
        <v>3</v>
      </c>
      <c r="B36" s="15">
        <f>COUNTIF('Season 7'!A:AAO, CONCATENATE(TRIM(A36), " ","-"," ","W*"))</f>
        <v>10</v>
      </c>
      <c r="C36" s="16">
        <f>SUM(COUNTIF('Season 7'!A:AAO, TRIM(A36)), COUNTIF('Season 7'!A:AAO, TRIM(A36) &amp; " (Defending)"), , COUNTIF('Season 7'!A:AAO, TRIM(A36) &amp; " (PL)"), COUNTIF('Season 7'!A:AAO, TRIM(A36) &amp; " (PL) (Defending)"))</f>
        <v>7</v>
      </c>
    </row>
    <row r="37" spans="1:3">
      <c r="A37" t="s">
        <v>1</v>
      </c>
      <c r="B37" s="15">
        <f>COUNTIF('Season 7'!A:AAO, CONCATENATE(TRIM(A37), " ","-"," ","W*"))</f>
        <v>10</v>
      </c>
      <c r="C37" s="16">
        <f>SUM(COUNTIF('Season 7'!A:AAO, TRIM(A37)), COUNTIF('Season 7'!A:AAO, TRIM(A37) &amp; " (Defending)"), , COUNTIF('Season 7'!A:AAO, TRIM(A37) &amp; " (PL)"), COUNTIF('Season 7'!A:AAO, TRIM(A37) &amp; " (PL) (Defending)"))</f>
        <v>8</v>
      </c>
    </row>
    <row r="38" spans="1:3">
      <c r="A38" t="s">
        <v>24</v>
      </c>
      <c r="B38" s="15">
        <f>COUNTIF('Season 7'!A:AAO, CONCATENATE(TRIM(A38), " ","-"," ","W*"))</f>
        <v>9</v>
      </c>
      <c r="C38" s="16">
        <f>SUM(COUNTIF('Season 7'!A:AAO, TRIM(A38)), COUNTIF('Season 7'!A:AAO, TRIM(A38) &amp; " (Defending)"), , COUNTIF('Season 7'!A:AAO, TRIM(A38) &amp; " (PL)"), COUNTIF('Season 7'!A:AAO, TRIM(A38) &amp; " (PL) (Defending)"))</f>
        <v>5</v>
      </c>
    </row>
    <row r="39" spans="1:3">
      <c r="A39" t="s">
        <v>17</v>
      </c>
      <c r="B39" s="15">
        <f>COUNTIF('Season 7'!A:AAO, CONCATENATE(TRIM(A39), " ","-"," ","W*"))</f>
        <v>9</v>
      </c>
      <c r="C39" s="16">
        <f>SUM(COUNTIF('Season 7'!A:AAO, TRIM(A39)), COUNTIF('Season 7'!A:AAO, TRIM(A39) &amp; " (Defending)"), , COUNTIF('Season 7'!A:AAO, TRIM(A39) &amp; " (PL)"), COUNTIF('Season 7'!A:AAO, TRIM(A39) &amp; " (PL) (Defending)"))</f>
        <v>12</v>
      </c>
    </row>
    <row r="40" spans="1:3">
      <c r="A40" t="s">
        <v>52</v>
      </c>
      <c r="B40" s="15">
        <f>COUNTIF('Season 7'!A:AAO, CONCATENATE(TRIM(A40), " ","-"," ","W*"))</f>
        <v>9</v>
      </c>
      <c r="C40" s="16">
        <f>SUM(COUNTIF('Season 7'!A:AAO, TRIM(A40)), COUNTIF('Season 7'!A:AAO, TRIM(A40) &amp; " (Defending)"), , COUNTIF('Season 7'!A:AAO, TRIM(A40) &amp; " (PL)"), COUNTIF('Season 7'!A:AAO, TRIM(A40) &amp; " (PL) (Defending)"))</f>
        <v>9</v>
      </c>
    </row>
    <row r="41" spans="1:3">
      <c r="A41" t="s">
        <v>82</v>
      </c>
      <c r="B41" s="15">
        <f>COUNTIF('Season 7'!A:AAO, CONCATENATE(TRIM(A41), " ","-"," ","W*"))</f>
        <v>10</v>
      </c>
      <c r="C41" s="16">
        <f>SUM(COUNTIF('Season 7'!A:AAO, TRIM(A41)), COUNTIF('Season 7'!A:AAO, TRIM(A41) &amp; " (Defending)"), , COUNTIF('Season 7'!A:AAO, TRIM(A41) &amp; " (PL)"), COUNTIF('Season 7'!A:AAO, TRIM(A41) &amp; " (PL) (Defending)"))</f>
        <v>10</v>
      </c>
    </row>
    <row r="42" spans="1:3">
      <c r="A42" t="s">
        <v>542</v>
      </c>
      <c r="B42" s="15">
        <f>COUNTIF('Season 7'!A:AAO, CONCATENATE(TRIM(A42), " ","-"," ","W*"))</f>
        <v>8</v>
      </c>
      <c r="C42" s="16">
        <f>SUM(COUNTIF('Season 7'!A:AAO, TRIM(A42)), COUNTIF('Season 7'!A:AAO, TRIM(A42) &amp; " (Defending)"), , COUNTIF('Season 7'!A:AAO, TRIM(A42) &amp; " (PL)"), COUNTIF('Season 7'!A:AAO, TRIM(A42) &amp; " (PL) (Defending)"))</f>
        <v>10</v>
      </c>
    </row>
    <row r="43" spans="1:3">
      <c r="A43" t="s">
        <v>41</v>
      </c>
      <c r="B43" s="15">
        <f>COUNTIF('Season 7'!A:AAO, CONCATENATE(TRIM(A43), " ","-"," ","W*"))</f>
        <v>7</v>
      </c>
      <c r="C43" s="16">
        <f>SUM(COUNTIF('Season 7'!A:AAO, TRIM(A43)), COUNTIF('Season 7'!A:AAO, TRIM(A43) &amp; " (Defending)"), , COUNTIF('Season 7'!A:AAO, TRIM(A43) &amp; " (PL)"), COUNTIF('Season 7'!A:AAO, TRIM(A43) &amp; " (PL) (Defending)"))</f>
        <v>11</v>
      </c>
    </row>
    <row r="44" spans="1:3">
      <c r="A44" t="s">
        <v>66</v>
      </c>
      <c r="B44" s="15">
        <f>COUNTIF('Season 7'!A:AAO, CONCATENATE(TRIM(A44), " ","-"," ","W*"))</f>
        <v>6</v>
      </c>
      <c r="C44" s="16">
        <f>SUM(COUNTIF('Season 7'!A:AAO, TRIM(A44)), COUNTIF('Season 7'!A:AAO, TRIM(A44) &amp; " (Defending)"), , COUNTIF('Season 7'!A:AAO, TRIM(A44) &amp; " (PL)"), COUNTIF('Season 7'!A:AAO, TRIM(A44) &amp; " (PL) (Defending)"))</f>
        <v>11</v>
      </c>
    </row>
    <row r="45" spans="1:3">
      <c r="A45" t="s">
        <v>77</v>
      </c>
      <c r="B45" s="15">
        <f>COUNTIF('Season 7'!A:AAO, CONCATENATE(TRIM(A45), " ","-"," ","W*"))</f>
        <v>5</v>
      </c>
      <c r="C45" s="16">
        <f>SUM(COUNTIF('Season 7'!A:AAO, TRIM(A45)), COUNTIF('Season 7'!A:AAO, TRIM(A45) &amp; " (Defending)"), , COUNTIF('Season 7'!A:AAO, TRIM(A45) &amp; " (PL)"), COUNTIF('Season 7'!A:AAO, TRIM(A45) &amp; " (PL) (Defending)"))</f>
        <v>12</v>
      </c>
    </row>
    <row r="46" spans="1:3">
      <c r="A46" t="s">
        <v>326</v>
      </c>
      <c r="B46" s="15">
        <f>COUNTIF('Season 7'!A:AAO, CONCATENATE(TRIM(A46), " ","-"," ","W*"))</f>
        <v>5</v>
      </c>
      <c r="C46" s="16">
        <f>SUM(COUNTIF('Season 7'!A:AAO, TRIM(A46)), COUNTIF('Season 7'!A:AAO, TRIM(A46) &amp; " (Defending)"), , COUNTIF('Season 7'!A:AAO, TRIM(A46) &amp; " (PL)"), COUNTIF('Season 7'!A:AAO, TRIM(A46) &amp; " (PL) (Defending)"))</f>
        <v>6</v>
      </c>
    </row>
    <row r="47" spans="1:3">
      <c r="A47" t="s">
        <v>11</v>
      </c>
      <c r="B47" s="15">
        <f>COUNTIF('Season 7'!A:AAO, CONCATENATE(TRIM(A47), " ","-"," ","W*"))</f>
        <v>4</v>
      </c>
      <c r="C47" s="16">
        <f>SUM(COUNTIF('Season 7'!A:AAO, TRIM(A47)), COUNTIF('Season 7'!A:AAO, TRIM(A47) &amp; " (Defending)"), , COUNTIF('Season 7'!A:AAO, TRIM(A47) &amp; " (PL)"), COUNTIF('Season 7'!A:AAO, TRIM(A47) &amp; " (PL) (Defending)"))</f>
        <v>14</v>
      </c>
    </row>
    <row r="48" spans="1:3">
      <c r="A48" t="s">
        <v>23</v>
      </c>
      <c r="B48" s="15">
        <f>COUNTIF('Season 7'!A:AAO, CONCATENATE(TRIM(A48), " ","-"," ","W*"))</f>
        <v>2</v>
      </c>
      <c r="C48" s="16">
        <f>SUM(COUNTIF('Season 7'!A:AAO, TRIM(A48)), COUNTIF('Season 7'!A:AAO, TRIM(A48) &amp; " (Defending)"), , COUNTIF('Season 7'!A:AAO, TRIM(A48) &amp; " (PL)"), COUNTIF('Season 7'!A:AAO, TRIM(A48) &amp; " (PL) (Defending)"))</f>
        <v>7</v>
      </c>
    </row>
    <row r="49" spans="1:3">
      <c r="A49" t="s">
        <v>62</v>
      </c>
      <c r="B49" s="15">
        <f>COUNTIF('Season 7'!A:AAO, CONCATENATE(TRIM(A49), " ","-"," ","W*"))</f>
        <v>2</v>
      </c>
      <c r="C49" s="16">
        <f>SUM(COUNTIF('Season 7'!A:AAO, TRIM(A49)), COUNTIF('Season 7'!A:AAO, TRIM(A49) &amp; " (Defending)"), , COUNTIF('Season 7'!A:AAO, TRIM(A49) &amp; " (PL)"), COUNTIF('Season 7'!A:AAO, TRIM(A49) &amp; " (PL) (Defending)"))</f>
        <v>8</v>
      </c>
    </row>
    <row r="50" spans="1:3">
      <c r="A50" t="s">
        <v>15</v>
      </c>
      <c r="B50" s="15">
        <f>COUNTIF('Season 7'!A:AAO, CONCATENATE(TRIM(A50), " ","-"," ","W*"))</f>
        <v>2</v>
      </c>
      <c r="C50" s="16">
        <f>SUM(COUNTIF('Season 7'!A:AAO, TRIM(A50)), COUNTIF('Season 7'!A:AAO, TRIM(A50) &amp; " (Defending)"), , COUNTIF('Season 7'!A:AAO, TRIM(A50) &amp; " (PL)"), COUNTIF('Season 7'!A:AAO, TRIM(A50) &amp; " (PL) (Defending)"))</f>
        <v>9</v>
      </c>
    </row>
    <row r="51" spans="1:3">
      <c r="A51" t="s">
        <v>722</v>
      </c>
      <c r="B51" s="15">
        <f>COUNTIF('Season 7'!A:AAO, CONCATENATE(TRIM(A51), " ","-"," ","W*"))</f>
        <v>1</v>
      </c>
      <c r="C51" s="16">
        <f>SUM(COUNTIF('Season 7'!A:AAO, TRIM(A51)), COUNTIF('Season 7'!A:AAO, TRIM(A51) &amp; " (Defending)"), , COUNTIF('Season 7'!A:AAO, TRIM(A51) &amp; " (PL)"), COUNTIF('Season 7'!A:AAO, TRIM(A51) &amp; " (PL) (Defending)"))</f>
        <v>12</v>
      </c>
    </row>
    <row r="52" spans="1:3">
      <c r="A52" t="s">
        <v>10</v>
      </c>
      <c r="B52" s="15">
        <f>COUNTIF('Season 7'!A:AAO, CONCATENATE(TRIM(A52), " ","-"," ","W*"))</f>
        <v>0</v>
      </c>
      <c r="C52" s="16">
        <f>SUM(COUNTIF('Season 7'!A:AAO, TRIM(A52)), COUNTIF('Season 7'!A:AAO, TRIM(A52) &amp; " (Defending)"), , COUNTIF('Season 7'!A:AAO, TRIM(A52) &amp; " (PL)"), COUNTIF('Season 7'!A:AAO, TRIM(A52) &amp; " (PL) (Defending)"))</f>
        <v>13</v>
      </c>
    </row>
    <row r="54" spans="1:3">
      <c r="A54" t="s">
        <v>428</v>
      </c>
      <c r="B54" s="13" t="s">
        <v>79</v>
      </c>
      <c r="C54" s="14" t="s">
        <v>80</v>
      </c>
    </row>
    <row r="55" spans="1:3">
      <c r="A55" s="51" t="s">
        <v>78</v>
      </c>
      <c r="B55" s="15">
        <f>COUNTIF('Season 7'!A:AAO, CONCATENATE(TRIM(A55), " ","-"," ","W*"))</f>
        <v>16</v>
      </c>
      <c r="C55" s="16">
        <f>SUM(COUNTIF('Season 7'!A:AAO, TRIM(A55)), COUNTIF('Season 7'!A:AAO, TRIM(A55) &amp; " (Defending)"), COUNTIF('Season 7'!A:AAO, TRIM(A55) &amp; " (PL)"), COUNTIF('Season 7'!A:AAO, TRIM(A55) &amp; " (PL) (Defending)"))</f>
        <v>6</v>
      </c>
    </row>
    <row r="56" spans="1:3">
      <c r="A56" s="51" t="s">
        <v>59</v>
      </c>
      <c r="B56" s="15">
        <f>COUNTIF('Season 7'!A:AAO, CONCATENATE(TRIM(A56), " ","-"," ","W*"))</f>
        <v>14</v>
      </c>
      <c r="C56" s="16">
        <f>SUM(COUNTIF('Season 7'!A:AAO, TRIM(A56)), COUNTIF('Season 7'!A:AAO, TRIM(A56) &amp; " (Defending)"), COUNTIF('Season 7'!A:AAO, TRIM(A56) &amp; " (PL)"), COUNTIF('Season 7'!A:AAO, TRIM(A56) &amp; " (PL) (Defending)"))</f>
        <v>9</v>
      </c>
    </row>
    <row r="57" spans="1:3">
      <c r="A57" s="51" t="s">
        <v>45</v>
      </c>
      <c r="B57" s="15">
        <f>COUNTIF('Season 7'!A:AAO, CONCATENATE(TRIM(A57), " ","-"," ","W*"))</f>
        <v>12</v>
      </c>
      <c r="C57" s="16">
        <f>SUM(COUNTIF('Season 7'!A:AAO, TRIM(A57)), COUNTIF('Season 7'!A:AAO, TRIM(A57) &amp; " (Defending)"), COUNTIF('Season 7'!A:AAO, TRIM(A57) &amp; " (PL)"), COUNTIF('Season 7'!A:AAO, TRIM(A57) &amp; " (PL) (Defending)"))</f>
        <v>9</v>
      </c>
    </row>
    <row r="58" spans="1:3">
      <c r="A58" s="51" t="s">
        <v>53</v>
      </c>
      <c r="B58" s="15">
        <f>COUNTIF('Season 7'!A:AAO, CONCATENATE(TRIM(A58), " ","-"," ","W*"))</f>
        <v>12</v>
      </c>
      <c r="C58" s="16">
        <f>SUM(COUNTIF('Season 7'!A:AAO, TRIM(A58)), COUNTIF('Season 7'!A:AAO, TRIM(A58) &amp; " (Defending)"), COUNTIF('Season 7'!A:AAO, TRIM(A58) &amp; " (PL)"), COUNTIF('Season 7'!A:AAO, TRIM(A58) &amp; " (PL) (Defending)"))</f>
        <v>6</v>
      </c>
    </row>
    <row r="59" spans="1:3">
      <c r="A59" s="51" t="s">
        <v>7</v>
      </c>
      <c r="B59" s="15">
        <f>COUNTIF('Season 7'!A:AAO, CONCATENATE(TRIM(A59), " ","-"," ","W*"))</f>
        <v>13</v>
      </c>
      <c r="C59" s="16">
        <f>SUM(COUNTIF('Season 7'!A:AAO, TRIM(A59)), COUNTIF('Season 7'!A:AAO, TRIM(A59) &amp; " (Defending)"), COUNTIF('Season 7'!A:AAO, TRIM(A59) &amp; " (PL)"), COUNTIF('Season 7'!A:AAO, TRIM(A59) &amp; " (PL) (Defending)"))</f>
        <v>5</v>
      </c>
    </row>
    <row r="60" spans="1:3">
      <c r="A60" s="51" t="s">
        <v>63</v>
      </c>
      <c r="B60" s="15">
        <f>COUNTIF('Season 7'!A:AAO, CONCATENATE(TRIM(A60), " ","-"," ","W*"))</f>
        <v>13</v>
      </c>
      <c r="C60" s="16">
        <f>SUM(COUNTIF('Season 7'!A:AAO, TRIM(A60)), COUNTIF('Season 7'!A:AAO, TRIM(A60) &amp; " (Defending)"), COUNTIF('Season 7'!A:AAO, TRIM(A60) &amp; " (PL)"), COUNTIF('Season 7'!A:AAO, TRIM(A60) &amp; " (PL) (Defending)"))</f>
        <v>8</v>
      </c>
    </row>
    <row r="61" spans="1:3">
      <c r="A61" s="51" t="s">
        <v>5</v>
      </c>
      <c r="B61" s="15">
        <f>COUNTIF('Season 7'!A:AAO, CONCATENATE(TRIM(A61), " ","-"," ","W*"))</f>
        <v>12</v>
      </c>
      <c r="C61" s="16">
        <f>SUM(COUNTIF('Season 7'!A:AAO, TRIM(A61)), COUNTIF('Season 7'!A:AAO, TRIM(A61) &amp; " (Defending)"), COUNTIF('Season 7'!A:AAO, TRIM(A61) &amp; " (PL)"), COUNTIF('Season 7'!A:AAO, TRIM(A61) &amp; " (PL) (Defending)"))</f>
        <v>7</v>
      </c>
    </row>
    <row r="62" spans="1:3">
      <c r="A62" s="51" t="s">
        <v>12</v>
      </c>
      <c r="B62" s="15">
        <f>COUNTIF('Season 7'!A:AAO, CONCATENATE(TRIM(A62), " ","-"," ","W*"))</f>
        <v>10</v>
      </c>
      <c r="C62" s="16">
        <f>SUM(COUNTIF('Season 7'!A:AAO, TRIM(A62)), COUNTIF('Season 7'!A:AAO, TRIM(A62) &amp; " (Defending)"), COUNTIF('Season 7'!A:AAO, TRIM(A62) &amp; " (PL)"), COUNTIF('Season 7'!A:AAO, TRIM(A62) &amp; " (PL) (Defending)"))</f>
        <v>7</v>
      </c>
    </row>
    <row r="63" spans="1:3">
      <c r="A63" s="51" t="s">
        <v>721</v>
      </c>
      <c r="B63" s="15">
        <f>COUNTIF('Season 7'!A:AAO, CONCATENATE(TRIM(A63), " ","-"," ","W*"))</f>
        <v>10</v>
      </c>
      <c r="C63" s="16">
        <f>SUM(COUNTIF('Season 7'!A:AAO, TRIM(A63)), COUNTIF('Season 7'!A:AAO, TRIM(A63) &amp; " (Defending)"), COUNTIF('Season 7'!A:AAO, TRIM(A63) &amp; " (PL)"), COUNTIF('Season 7'!A:AAO, TRIM(A63) &amp; " (PL) (Defending)"))</f>
        <v>10</v>
      </c>
    </row>
    <row r="64" spans="1:3">
      <c r="A64" s="51" t="s">
        <v>61</v>
      </c>
      <c r="B64" s="15">
        <f>COUNTIF('Season 7'!A:AAO, CONCATENATE(TRIM(A64), " ","-"," ","W*"))</f>
        <v>10</v>
      </c>
      <c r="C64" s="16">
        <f>SUM(COUNTIF('Season 7'!A:AAO, TRIM(A64)), COUNTIF('Season 7'!A:AAO, TRIM(A64) &amp; " (Defending)"), COUNTIF('Season 7'!A:AAO, TRIM(A64) &amp; " (PL)"), COUNTIF('Season 7'!A:AAO, TRIM(A64) &amp; " (PL) (Defending)"))</f>
        <v>9</v>
      </c>
    </row>
    <row r="65" spans="1:3">
      <c r="A65" s="51" t="s">
        <v>9</v>
      </c>
      <c r="B65" s="15">
        <f>COUNTIF('Season 7'!A:AAO, CONCATENATE(TRIM(A65), " ","-"," ","W*"))</f>
        <v>9</v>
      </c>
      <c r="C65" s="16">
        <f>SUM(COUNTIF('Season 7'!A:AAO, TRIM(A65)), COUNTIF('Season 7'!A:AAO, TRIM(A65) &amp; " (Defending)"), COUNTIF('Season 7'!A:AAO, TRIM(A65) &amp; " (PL)"), COUNTIF('Season 7'!A:AAO, TRIM(A65) &amp; " (PL) (Defending)"))</f>
        <v>9</v>
      </c>
    </row>
    <row r="66" spans="1:3">
      <c r="A66" s="51" t="s">
        <v>55</v>
      </c>
      <c r="B66" s="15">
        <f>COUNTIF('Season 7'!A:AAO, CONCATENATE(TRIM(A66), " ","-"," ","W*"))</f>
        <v>8</v>
      </c>
      <c r="C66" s="16">
        <f>SUM(COUNTIF('Season 7'!A:AAO, TRIM(A66)), COUNTIF('Season 7'!A:AAO, TRIM(A66) &amp; " (Defending)"), COUNTIF('Season 7'!A:AAO, TRIM(A66) &amp; " (PL)"), COUNTIF('Season 7'!A:AAO, TRIM(A66) &amp; " (PL) (Defending)"))</f>
        <v>12</v>
      </c>
    </row>
    <row r="67" spans="1:3">
      <c r="A67" s="51" t="s">
        <v>50</v>
      </c>
      <c r="B67" s="15">
        <f>COUNTIF('Season 7'!A:AAO, CONCATENATE(TRIM(A67), " ","-"," ","W*"))</f>
        <v>8</v>
      </c>
      <c r="C67" s="16">
        <f>SUM(COUNTIF('Season 7'!A:AAO, TRIM(A67)), COUNTIF('Season 7'!A:AAO, TRIM(A67) &amp; " (Defending)"), COUNTIF('Season 7'!A:AAO, TRIM(A67) &amp; " (PL)"), COUNTIF('Season 7'!A:AAO, TRIM(A67) &amp; " (PL) (Defending)"))</f>
        <v>13</v>
      </c>
    </row>
    <row r="68" spans="1:3">
      <c r="A68" t="s">
        <v>445</v>
      </c>
      <c r="B68" s="15">
        <f>COUNTIF('Season 7'!A:AAO, CONCATENATE(TRIM(A68), " ","-"," ","W*"))</f>
        <v>6</v>
      </c>
      <c r="C68" s="16">
        <f>SUM(COUNTIF('Season 7'!A:AAO, TRIM(A68)), COUNTIF('Season 7'!A:AAO, TRIM(A68) &amp; " (Defending)"), COUNTIF('Season 7'!A:AAO, TRIM(A68) &amp; " (PL)"), COUNTIF('Season 7'!A:AAO, TRIM(A68) &amp; " (PL) (Defending)"))</f>
        <v>13</v>
      </c>
    </row>
    <row r="69" spans="1:3">
      <c r="A69" s="51" t="s">
        <v>22</v>
      </c>
      <c r="B69" s="15">
        <f>COUNTIF('Season 7'!A:AAO, CONCATENATE(TRIM(A69), " ","-"," ","W*"))</f>
        <v>6</v>
      </c>
      <c r="C69" s="16">
        <f>SUM(COUNTIF('Season 7'!A:AAO, TRIM(A69)), COUNTIF('Season 7'!A:AAO, TRIM(A69) &amp; " (Defending)"), COUNTIF('Season 7'!A:AAO, TRIM(A69) &amp; " (PL)"), COUNTIF('Season 7'!A:AAO, TRIM(A69) &amp; " (PL) (Defending)"))</f>
        <v>10</v>
      </c>
    </row>
    <row r="70" spans="1:3">
      <c r="A70" s="51" t="s">
        <v>43</v>
      </c>
      <c r="B70" s="15">
        <f>COUNTIF('Season 7'!A:AAO, CONCATENATE(TRIM(A70), " ","-"," ","W*"))</f>
        <v>6</v>
      </c>
      <c r="C70" s="16">
        <f>SUM(COUNTIF('Season 7'!A:AAO, TRIM(A70)), COUNTIF('Season 7'!A:AAO, TRIM(A70) &amp; " (Defending)"), COUNTIF('Season 7'!A:AAO, TRIM(A70) &amp; " (PL)"), COUNTIF('Season 7'!A:AAO, TRIM(A70) &amp; " (PL) (Defending)"))</f>
        <v>14</v>
      </c>
    </row>
    <row r="71" spans="1:3">
      <c r="A71" s="51" t="s">
        <v>58</v>
      </c>
      <c r="B71" s="15">
        <f>COUNTIF('Season 7'!A:AAO, CONCATENATE(TRIM(A71), " ","-"," ","W*"))</f>
        <v>6</v>
      </c>
      <c r="C71" s="16">
        <f>SUM(COUNTIF('Season 7'!A:AAO, TRIM(A71)), COUNTIF('Season 7'!A:AAO, TRIM(A71) &amp; " (Defending)"), COUNTIF('Season 7'!A:AAO, TRIM(A71) &amp; " (PL)"), COUNTIF('Season 7'!A:AAO, TRIM(A71) &amp; " (PL) (Defending)"))</f>
        <v>14</v>
      </c>
    </row>
    <row r="72" spans="1:3">
      <c r="A72" s="51" t="s">
        <v>40</v>
      </c>
      <c r="B72" s="15">
        <f>COUNTIF('Season 7'!A:AAO, CONCATENATE(TRIM(A72), " ","-"," ","W*"))</f>
        <v>5</v>
      </c>
      <c r="C72" s="16">
        <f>SUM(COUNTIF('Season 7'!A:AAO, TRIM(A72)), COUNTIF('Season 7'!A:AAO, TRIM(A72) &amp; " (Defending)"), COUNTIF('Season 7'!A:AAO, TRIM(A72) &amp; " (PL)"), COUNTIF('Season 7'!A:AAO, TRIM(A72) &amp; " (PL) (Defending)"))</f>
        <v>8</v>
      </c>
    </row>
    <row r="73" spans="1:3">
      <c r="A73" s="51" t="s">
        <v>36</v>
      </c>
      <c r="B73" s="15">
        <f>COUNTIF('Season 7'!A:AAO, CONCATENATE(TRIM(A73), " ","-"," ","W*"))</f>
        <v>5</v>
      </c>
      <c r="C73" s="16">
        <f>SUM(COUNTIF('Season 7'!A:AAO, TRIM(A73)), COUNTIF('Season 7'!A:AAO, TRIM(A73) &amp; " (Defending)"), COUNTIF('Season 7'!A:AAO, TRIM(A73) &amp; " (PL)"), COUNTIF('Season 7'!A:AAO, TRIM(A73) &amp; " (PL) (Defending)"))</f>
        <v>12</v>
      </c>
    </row>
    <row r="74" spans="1:3">
      <c r="A74" s="51" t="s">
        <v>791</v>
      </c>
      <c r="B74" s="15">
        <f>COUNTIF('Season 7'!A:AAO, CONCATENATE(TRIM(A74), " ","-"," ","W*"))</f>
        <v>6</v>
      </c>
      <c r="C74" s="16">
        <f>SUM(COUNTIF('Season 7'!A:AAO, TRIM(A74)), COUNTIF('Season 7'!A:AAO, TRIM(A74) &amp; " (Defending)"), COUNTIF('Season 7'!A:AAO, TRIM(A74) &amp; " (PL)"), COUNTIF('Season 7'!A:AAO, TRIM(A74) &amp; " (PL) (Defending)"))</f>
        <v>2</v>
      </c>
    </row>
    <row r="75" spans="1:3">
      <c r="A75" s="51" t="s">
        <v>21</v>
      </c>
      <c r="B75" s="15">
        <f>COUNTIF('Season 7'!A:AAO, CONCATENATE(TRIM(A75), " ","-"," ","W*"))</f>
        <v>3</v>
      </c>
      <c r="C75" s="16">
        <f>SUM(COUNTIF('Season 7'!A:AAO, TRIM(A75)), COUNTIF('Season 7'!A:AAO, TRIM(A75) &amp; " (Defending)"), COUNTIF('Season 7'!A:AAO, TRIM(A75) &amp; " (PL)"), COUNTIF('Season 7'!A:AAO, TRIM(A75) &amp; " (PL) (Defending)"))</f>
        <v>12</v>
      </c>
    </row>
    <row r="76" spans="1:3">
      <c r="A76" s="51" t="s">
        <v>6</v>
      </c>
      <c r="B76" s="15">
        <f>COUNTIF('Season 7'!A:AAO, CONCATENATE(TRIM(A76), " ","-"," ","W*"))</f>
        <v>3</v>
      </c>
      <c r="C76" s="16">
        <f>SUM(COUNTIF('Season 7'!A:AAO, TRIM(A76)), COUNTIF('Season 7'!A:AAO, TRIM(A76) &amp; " (Defending)"), COUNTIF('Season 7'!A:AAO, TRIM(A76) &amp; " (PL)"), COUNTIF('Season 7'!A:AAO, TRIM(A76) &amp; " (PL) (Defending)"))</f>
        <v>14</v>
      </c>
    </row>
    <row r="77" spans="1:3">
      <c r="A77" s="51" t="s">
        <v>290</v>
      </c>
      <c r="B77" s="15">
        <f>COUNTIF('Season 7'!A:AAO, CONCATENATE(TRIM(A77), " ","-"," ","W*"))</f>
        <v>3</v>
      </c>
      <c r="C77" s="16">
        <f>SUM(COUNTIF('Season 7'!A:AAO, TRIM(A77)), COUNTIF('Season 7'!A:AAO, TRIM(A77) &amp; " (Defending)"), COUNTIF('Season 7'!A:AAO, TRIM(A77) &amp; " (PL)"), COUNTIF('Season 7'!A:AAO, TRIM(A77) &amp; " (PL) (Defending)"))</f>
        <v>14</v>
      </c>
    </row>
    <row r="78" spans="1:3">
      <c r="A78" s="51" t="s">
        <v>44</v>
      </c>
      <c r="B78" s="15">
        <f>COUNTIF('Season 7'!A:AAO, CONCATENATE(TRIM(A78), " ","-"," ","W*"))</f>
        <v>1</v>
      </c>
      <c r="C78" s="16">
        <f>SUM(COUNTIF('Season 7'!A:AAO, TRIM(A78)), COUNTIF('Season 7'!A:AAO, TRIM(A78) &amp; " (Defending)"), COUNTIF('Season 7'!A:AAO, TRIM(A78) &amp; " (PL)"), COUNTIF('Season 7'!A:AAO, TRIM(A78) &amp; " (PL) (Defending)"))</f>
        <v>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46AB-0DC0-D449-9C56-551B4E13CEDD}">
  <dimension ref="A1:E46"/>
  <sheetViews>
    <sheetView topLeftCell="A2" workbookViewId="0">
      <selection activeCell="E21" sqref="E21"/>
    </sheetView>
  </sheetViews>
  <sheetFormatPr defaultColWidth="11" defaultRowHeight="15.75"/>
  <cols>
    <col min="1" max="1" width="2.1875" bestFit="1" customWidth="1"/>
    <col min="2" max="2" width="40.1875" bestFit="1" customWidth="1"/>
    <col min="3" max="3" width="3" bestFit="1" customWidth="1"/>
    <col min="4" max="4" width="3.1875" bestFit="1" customWidth="1"/>
    <col min="5" max="5" width="132.5" bestFit="1" customWidth="1"/>
  </cols>
  <sheetData>
    <row r="1" spans="1:5" ht="23.25">
      <c r="B1" s="73" t="s">
        <v>691</v>
      </c>
      <c r="C1" t="s">
        <v>79</v>
      </c>
      <c r="D1" t="s">
        <v>80</v>
      </c>
      <c r="E1" t="s">
        <v>358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8" spans="1:5" ht="23.25">
      <c r="B8" s="73" t="s">
        <v>692</v>
      </c>
      <c r="C8" t="s">
        <v>79</v>
      </c>
      <c r="D8" t="s">
        <v>80</v>
      </c>
      <c r="E8" t="s">
        <v>358</v>
      </c>
    </row>
    <row r="9" spans="1:5">
      <c r="A9">
        <v>1</v>
      </c>
    </row>
    <row r="10" spans="1:5">
      <c r="A10">
        <v>2</v>
      </c>
    </row>
    <row r="11" spans="1:5">
      <c r="A11">
        <v>3</v>
      </c>
    </row>
    <row r="13" spans="1:5" ht="23.25">
      <c r="B13" s="73" t="s">
        <v>693</v>
      </c>
      <c r="C13" t="s">
        <v>79</v>
      </c>
      <c r="D13" t="s">
        <v>80</v>
      </c>
      <c r="E13" t="s">
        <v>358</v>
      </c>
    </row>
    <row r="14" spans="1:5">
      <c r="A14">
        <v>1</v>
      </c>
    </row>
    <row r="15" spans="1:5">
      <c r="A15">
        <v>2</v>
      </c>
    </row>
    <row r="16" spans="1:5">
      <c r="A16">
        <v>3</v>
      </c>
    </row>
    <row r="18" spans="1:5" ht="23.25">
      <c r="B18" s="73" t="s">
        <v>694</v>
      </c>
      <c r="C18" t="s">
        <v>79</v>
      </c>
      <c r="D18" t="s">
        <v>80</v>
      </c>
      <c r="E18" t="s">
        <v>358</v>
      </c>
    </row>
    <row r="19" spans="1:5">
      <c r="A19">
        <v>1</v>
      </c>
    </row>
    <row r="20" spans="1:5">
      <c r="A20">
        <v>2</v>
      </c>
    </row>
    <row r="21" spans="1:5">
      <c r="A21">
        <v>3</v>
      </c>
    </row>
    <row r="23" spans="1:5" ht="23.25">
      <c r="B23" s="73" t="s">
        <v>408</v>
      </c>
    </row>
    <row r="24" spans="1:5">
      <c r="A24">
        <v>1</v>
      </c>
    </row>
    <row r="25" spans="1:5">
      <c r="A25">
        <v>2</v>
      </c>
    </row>
    <row r="27" spans="1:5" ht="23.25">
      <c r="B27" s="73" t="s">
        <v>443</v>
      </c>
      <c r="C27" t="s">
        <v>79</v>
      </c>
      <c r="D27" t="s">
        <v>80</v>
      </c>
    </row>
    <row r="28" spans="1:5">
      <c r="A28">
        <v>1</v>
      </c>
    </row>
    <row r="29" spans="1:5">
      <c r="A29">
        <v>2</v>
      </c>
    </row>
    <row r="30" spans="1:5">
      <c r="A30">
        <v>3</v>
      </c>
    </row>
    <row r="31" spans="1:5">
      <c r="A31">
        <v>4</v>
      </c>
    </row>
    <row r="32" spans="1:5">
      <c r="A32">
        <v>5</v>
      </c>
    </row>
    <row r="34" spans="1:5" ht="23.25">
      <c r="B34" s="73" t="s">
        <v>357</v>
      </c>
      <c r="C34" t="s">
        <v>79</v>
      </c>
      <c r="D34" t="s">
        <v>80</v>
      </c>
    </row>
    <row r="35" spans="1:5">
      <c r="A35">
        <v>1</v>
      </c>
    </row>
    <row r="36" spans="1:5">
      <c r="A36">
        <v>2</v>
      </c>
    </row>
    <row r="37" spans="1:5">
      <c r="A37">
        <v>3</v>
      </c>
    </row>
    <row r="38" spans="1:5">
      <c r="A38">
        <v>4</v>
      </c>
    </row>
    <row r="39" spans="1:5">
      <c r="A39">
        <v>5</v>
      </c>
    </row>
    <row r="41" spans="1:5" ht="23.25">
      <c r="B41" s="75" t="s">
        <v>415</v>
      </c>
    </row>
    <row r="42" spans="1:5">
      <c r="A42">
        <v>1</v>
      </c>
      <c r="C42" s="148"/>
      <c r="D42" s="148"/>
      <c r="E42" s="148"/>
    </row>
    <row r="43" spans="1:5">
      <c r="A43">
        <v>2</v>
      </c>
      <c r="B43" s="78"/>
      <c r="C43" s="148"/>
      <c r="D43" s="148"/>
      <c r="E43" s="148"/>
    </row>
    <row r="44" spans="1:5">
      <c r="A44">
        <v>3</v>
      </c>
      <c r="C44" s="148"/>
      <c r="D44" s="148"/>
      <c r="E44" s="148"/>
    </row>
    <row r="45" spans="1:5">
      <c r="A45">
        <v>4</v>
      </c>
      <c r="C45" s="148"/>
      <c r="D45" s="148"/>
      <c r="E45" s="148"/>
    </row>
    <row r="46" spans="1:5">
      <c r="A46">
        <v>5</v>
      </c>
      <c r="C46" s="148"/>
      <c r="D46" s="148"/>
      <c r="E46" s="148"/>
    </row>
  </sheetData>
  <mergeCells count="5">
    <mergeCell ref="C42:E42"/>
    <mergeCell ref="C43:E43"/>
    <mergeCell ref="C44:E44"/>
    <mergeCell ref="C45:E45"/>
    <mergeCell ref="C46:E4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9081-037D-454A-BF30-5A36D153CD9E}">
  <dimension ref="A1:N31"/>
  <sheetViews>
    <sheetView workbookViewId="0">
      <selection activeCell="D32" sqref="D32"/>
    </sheetView>
  </sheetViews>
  <sheetFormatPr defaultColWidth="11" defaultRowHeight="15.75"/>
  <cols>
    <col min="1" max="1" width="17.3125" style="109" customWidth="1"/>
    <col min="2" max="2" width="16.8125" bestFit="1" customWidth="1"/>
    <col min="4" max="4" width="17.8125" bestFit="1" customWidth="1"/>
    <col min="5" max="5" width="16.8125" style="106" bestFit="1" customWidth="1"/>
    <col min="7" max="7" width="16.3125" bestFit="1" customWidth="1"/>
    <col min="8" max="8" width="16.8125" style="106" bestFit="1" customWidth="1"/>
    <col min="10" max="10" width="17.8125" bestFit="1" customWidth="1"/>
    <col min="11" max="11" width="10.8125" style="106"/>
    <col min="12" max="12" width="15" bestFit="1" customWidth="1"/>
    <col min="13" max="13" width="11.1875" bestFit="1" customWidth="1"/>
    <col min="14" max="14" width="17.3125" bestFit="1" customWidth="1"/>
  </cols>
  <sheetData>
    <row r="1" spans="1:14">
      <c r="A1" s="109" t="s">
        <v>760</v>
      </c>
    </row>
    <row r="2" spans="1:14">
      <c r="A2" s="109" t="s">
        <v>243</v>
      </c>
    </row>
    <row r="3" spans="1:14">
      <c r="A3" s="109" t="s">
        <v>406</v>
      </c>
    </row>
    <row r="4" spans="1:14">
      <c r="A4" s="109" t="s">
        <v>242</v>
      </c>
    </row>
    <row r="5" spans="1:14">
      <c r="L5" t="s">
        <v>243</v>
      </c>
      <c r="M5" t="s">
        <v>242</v>
      </c>
      <c r="N5" t="s">
        <v>406</v>
      </c>
    </row>
    <row r="6" spans="1:14">
      <c r="B6" s="17"/>
      <c r="C6" s="17"/>
      <c r="D6" s="17"/>
      <c r="E6" s="111"/>
      <c r="F6" s="17"/>
      <c r="G6" s="17"/>
      <c r="H6" s="111"/>
      <c r="I6" s="17"/>
      <c r="J6" s="17"/>
      <c r="L6" s="139"/>
      <c r="M6" s="140"/>
      <c r="N6" s="136"/>
    </row>
    <row r="7" spans="1:14">
      <c r="B7" t="s">
        <v>751</v>
      </c>
      <c r="C7" t="s">
        <v>56</v>
      </c>
      <c r="D7" t="s">
        <v>752</v>
      </c>
      <c r="E7" s="106" t="s">
        <v>751</v>
      </c>
      <c r="F7" t="s">
        <v>67</v>
      </c>
      <c r="G7" t="s">
        <v>758</v>
      </c>
      <c r="H7" s="106" t="s">
        <v>751</v>
      </c>
      <c r="I7" t="s">
        <v>53</v>
      </c>
      <c r="J7" t="s">
        <v>755</v>
      </c>
      <c r="L7" s="141"/>
      <c r="M7" s="137"/>
      <c r="N7" s="138"/>
    </row>
    <row r="8" spans="1:14">
      <c r="C8" t="s">
        <v>51</v>
      </c>
      <c r="D8" t="s">
        <v>753</v>
      </c>
      <c r="F8" t="s">
        <v>17</v>
      </c>
      <c r="G8" t="s">
        <v>104</v>
      </c>
      <c r="I8" t="s">
        <v>19</v>
      </c>
      <c r="J8" t="s">
        <v>756</v>
      </c>
      <c r="L8" s="139"/>
      <c r="M8" s="140"/>
      <c r="N8" s="136"/>
    </row>
    <row r="9" spans="1:14">
      <c r="C9" t="s">
        <v>14</v>
      </c>
      <c r="D9" t="s">
        <v>754</v>
      </c>
      <c r="F9" t="s">
        <v>446</v>
      </c>
      <c r="G9" t="s">
        <v>759</v>
      </c>
      <c r="I9" t="s">
        <v>5</v>
      </c>
      <c r="J9" t="s">
        <v>757</v>
      </c>
      <c r="L9" s="141"/>
      <c r="M9" s="137"/>
      <c r="N9" s="138"/>
    </row>
    <row r="10" spans="1:14">
      <c r="B10" s="111"/>
      <c r="C10" s="17" t="s">
        <v>49</v>
      </c>
      <c r="D10" s="17" t="s">
        <v>595</v>
      </c>
      <c r="E10" s="111"/>
      <c r="F10" s="17" t="s">
        <v>24</v>
      </c>
      <c r="G10" s="17" t="s">
        <v>594</v>
      </c>
      <c r="H10" s="111"/>
      <c r="I10" s="17" t="s">
        <v>7</v>
      </c>
      <c r="J10" s="113" t="s">
        <v>593</v>
      </c>
      <c r="L10" s="139"/>
      <c r="M10" s="140"/>
      <c r="N10" s="136"/>
    </row>
    <row r="11" spans="1:14">
      <c r="A11" s="144" t="s">
        <v>761</v>
      </c>
      <c r="B11" s="145"/>
      <c r="C11" s="145" t="s">
        <v>42</v>
      </c>
      <c r="D11" s="145"/>
      <c r="E11" s="146"/>
      <c r="F11" s="145" t="s">
        <v>3</v>
      </c>
      <c r="G11" s="145"/>
      <c r="H11" s="146"/>
      <c r="I11" s="145" t="s">
        <v>61</v>
      </c>
      <c r="J11" s="145"/>
      <c r="L11" s="141"/>
      <c r="M11" s="137"/>
      <c r="N11" s="138"/>
    </row>
    <row r="12" spans="1:14">
      <c r="A12" s="109" t="s">
        <v>762</v>
      </c>
      <c r="C12" t="s">
        <v>64</v>
      </c>
      <c r="F12" t="s">
        <v>46</v>
      </c>
      <c r="I12" t="s">
        <v>45</v>
      </c>
      <c r="L12" s="139"/>
      <c r="M12" s="140"/>
      <c r="N12" s="136"/>
    </row>
    <row r="13" spans="1:14">
      <c r="A13" s="144" t="s">
        <v>763</v>
      </c>
      <c r="B13" s="145"/>
      <c r="C13" s="145" t="s">
        <v>47</v>
      </c>
      <c r="D13" s="145"/>
      <c r="E13" s="146"/>
      <c r="F13" s="145" t="s">
        <v>532</v>
      </c>
      <c r="G13" s="145"/>
      <c r="H13" s="146"/>
      <c r="I13" s="145" t="s">
        <v>63</v>
      </c>
      <c r="J13" s="145"/>
      <c r="L13" s="141"/>
      <c r="M13" s="137"/>
      <c r="N13" s="138"/>
    </row>
    <row r="14" spans="1:14">
      <c r="A14" s="109" t="s">
        <v>764</v>
      </c>
      <c r="C14" t="s">
        <v>60</v>
      </c>
      <c r="F14" t="s">
        <v>84</v>
      </c>
      <c r="I14" t="s">
        <v>721</v>
      </c>
      <c r="L14" s="139"/>
      <c r="M14" s="140"/>
      <c r="N14" s="136"/>
    </row>
    <row r="15" spans="1:14">
      <c r="A15" s="147" t="s">
        <v>765</v>
      </c>
      <c r="B15" s="145"/>
      <c r="C15" s="145" t="s">
        <v>38</v>
      </c>
      <c r="D15" s="145"/>
      <c r="E15" s="146"/>
      <c r="F15" s="145" t="s">
        <v>39</v>
      </c>
      <c r="G15" s="145"/>
      <c r="H15" s="146"/>
      <c r="I15" s="145" t="s">
        <v>59</v>
      </c>
      <c r="J15" s="145"/>
      <c r="L15" s="141"/>
      <c r="M15" s="137"/>
      <c r="N15" s="138"/>
    </row>
    <row r="16" spans="1:14">
      <c r="A16" s="147" t="s">
        <v>765</v>
      </c>
      <c r="B16" s="145"/>
      <c r="C16" s="145" t="s">
        <v>76</v>
      </c>
      <c r="D16" s="145"/>
      <c r="E16" s="146"/>
      <c r="F16" s="145" t="s">
        <v>82</v>
      </c>
      <c r="G16" s="145"/>
      <c r="H16" s="146"/>
      <c r="I16" s="145" t="s">
        <v>12</v>
      </c>
      <c r="J16" s="145"/>
      <c r="L16" s="139"/>
      <c r="M16" s="140"/>
      <c r="N16" s="136"/>
    </row>
    <row r="17" spans="1:14">
      <c r="A17" s="109" t="s">
        <v>766</v>
      </c>
      <c r="C17" t="s">
        <v>37</v>
      </c>
      <c r="F17" t="s">
        <v>66</v>
      </c>
      <c r="I17" t="s">
        <v>55</v>
      </c>
      <c r="L17" s="141"/>
      <c r="M17" s="137"/>
      <c r="N17" s="138"/>
    </row>
    <row r="18" spans="1:14">
      <c r="A18" s="147" t="s">
        <v>767</v>
      </c>
      <c r="B18" s="145"/>
      <c r="C18" s="145" t="s">
        <v>445</v>
      </c>
      <c r="D18" s="145"/>
      <c r="E18" s="146"/>
      <c r="F18" s="145" t="s">
        <v>77</v>
      </c>
      <c r="G18" s="145"/>
      <c r="H18" s="146"/>
      <c r="I18" s="145" t="s">
        <v>65</v>
      </c>
      <c r="J18" s="145"/>
      <c r="L18" s="139"/>
      <c r="M18" s="140"/>
      <c r="N18" s="136"/>
    </row>
    <row r="19" spans="1:14">
      <c r="A19" s="147" t="s">
        <v>767</v>
      </c>
      <c r="B19" s="145"/>
      <c r="C19" s="145" t="s">
        <v>13</v>
      </c>
      <c r="D19" s="145"/>
      <c r="E19" s="146"/>
      <c r="F19" s="145" t="s">
        <v>2</v>
      </c>
      <c r="G19" s="145"/>
      <c r="H19" s="146"/>
      <c r="I19" s="145" t="s">
        <v>78</v>
      </c>
      <c r="J19" s="145"/>
      <c r="L19" s="141"/>
      <c r="M19" s="137"/>
      <c r="N19" s="138"/>
    </row>
    <row r="20" spans="1:14">
      <c r="A20" s="109" t="s">
        <v>768</v>
      </c>
      <c r="C20" t="s">
        <v>8</v>
      </c>
      <c r="F20" t="s">
        <v>52</v>
      </c>
      <c r="I20" t="s">
        <v>58</v>
      </c>
      <c r="L20" s="139"/>
      <c r="M20" s="140"/>
      <c r="N20" s="136"/>
    </row>
    <row r="21" spans="1:14">
      <c r="A21" s="144" t="s">
        <v>769</v>
      </c>
      <c r="B21" s="145"/>
      <c r="C21" s="145" t="s">
        <v>54</v>
      </c>
      <c r="D21" s="145"/>
      <c r="E21" s="146"/>
      <c r="F21" s="145" t="s">
        <v>1</v>
      </c>
      <c r="G21" s="145"/>
      <c r="H21" s="146"/>
      <c r="I21" s="145" t="s">
        <v>43</v>
      </c>
      <c r="J21" s="145"/>
      <c r="L21" s="141"/>
      <c r="M21" s="137"/>
      <c r="N21" s="138"/>
    </row>
    <row r="22" spans="1:14">
      <c r="A22" s="109" t="s">
        <v>770</v>
      </c>
      <c r="C22" t="s">
        <v>531</v>
      </c>
      <c r="F22" t="s">
        <v>11</v>
      </c>
      <c r="I22" t="s">
        <v>36</v>
      </c>
      <c r="L22" s="139"/>
      <c r="M22" s="140"/>
      <c r="N22" s="136"/>
    </row>
    <row r="23" spans="1:14">
      <c r="A23" s="147" t="s">
        <v>771</v>
      </c>
      <c r="B23" s="145"/>
      <c r="C23" s="145" t="s">
        <v>57</v>
      </c>
      <c r="D23" s="145"/>
      <c r="E23" s="146"/>
      <c r="F23" s="145" t="s">
        <v>41</v>
      </c>
      <c r="G23" s="145"/>
      <c r="H23" s="146"/>
      <c r="I23" s="145" t="s">
        <v>9</v>
      </c>
      <c r="J23" s="145"/>
      <c r="L23" s="141"/>
      <c r="M23" s="137"/>
      <c r="N23" s="138"/>
    </row>
    <row r="24" spans="1:14">
      <c r="A24" s="147" t="s">
        <v>771</v>
      </c>
      <c r="B24" s="145"/>
      <c r="C24" s="145" t="s">
        <v>20</v>
      </c>
      <c r="D24" s="145"/>
      <c r="E24" s="146"/>
      <c r="F24" s="145" t="s">
        <v>62</v>
      </c>
      <c r="G24" s="145"/>
      <c r="H24" s="146"/>
      <c r="I24" s="145" t="s">
        <v>290</v>
      </c>
      <c r="J24" s="145"/>
      <c r="L24" s="139"/>
      <c r="M24" s="140"/>
      <c r="N24" s="136"/>
    </row>
    <row r="25" spans="1:14">
      <c r="A25" s="109" t="s">
        <v>772</v>
      </c>
      <c r="C25" t="s">
        <v>16</v>
      </c>
      <c r="F25" t="s">
        <v>542</v>
      </c>
      <c r="I25" t="s">
        <v>50</v>
      </c>
      <c r="L25" s="141"/>
      <c r="M25" s="137"/>
      <c r="N25" s="138"/>
    </row>
    <row r="26" spans="1:14">
      <c r="A26" s="147" t="s">
        <v>773</v>
      </c>
      <c r="B26" s="145"/>
      <c r="C26" s="145" t="s">
        <v>291</v>
      </c>
      <c r="D26" s="145"/>
      <c r="E26" s="146"/>
      <c r="F26" s="145" t="s">
        <v>15</v>
      </c>
      <c r="G26" s="145"/>
      <c r="H26" s="146"/>
      <c r="I26" s="145" t="s">
        <v>6</v>
      </c>
      <c r="J26" s="145"/>
      <c r="L26" s="139"/>
      <c r="M26" s="140"/>
      <c r="N26" s="136"/>
    </row>
    <row r="27" spans="1:14">
      <c r="A27" s="147" t="s">
        <v>773</v>
      </c>
      <c r="B27" s="145"/>
      <c r="C27" s="145" t="s">
        <v>4</v>
      </c>
      <c r="D27" s="145"/>
      <c r="E27" s="146"/>
      <c r="F27" s="145" t="s">
        <v>326</v>
      </c>
      <c r="G27" s="145"/>
      <c r="H27" s="146"/>
      <c r="I27" s="145" t="s">
        <v>21</v>
      </c>
      <c r="J27" s="145"/>
      <c r="L27" s="141"/>
      <c r="M27" s="137"/>
      <c r="N27" s="138"/>
    </row>
    <row r="28" spans="1:14">
      <c r="A28" s="109" t="s">
        <v>774</v>
      </c>
      <c r="C28" t="s">
        <v>533</v>
      </c>
      <c r="F28" t="s">
        <v>722</v>
      </c>
      <c r="I28" t="s">
        <v>40</v>
      </c>
      <c r="L28" s="139"/>
      <c r="M28" s="140"/>
      <c r="N28" s="136"/>
    </row>
    <row r="29" spans="1:14">
      <c r="A29" s="147" t="s">
        <v>775</v>
      </c>
      <c r="B29" s="145"/>
      <c r="C29" s="145" t="s">
        <v>48</v>
      </c>
      <c r="D29" s="145"/>
      <c r="E29" s="146"/>
      <c r="F29" s="145" t="s">
        <v>10</v>
      </c>
      <c r="G29" s="145"/>
      <c r="H29" s="146"/>
      <c r="I29" s="145" t="s">
        <v>44</v>
      </c>
      <c r="J29" s="145"/>
      <c r="L29" s="141"/>
      <c r="M29" s="137"/>
      <c r="N29" s="142"/>
    </row>
    <row r="30" spans="1:14">
      <c r="A30" s="143" t="s">
        <v>776</v>
      </c>
      <c r="C30" t="s">
        <v>18</v>
      </c>
      <c r="F30" t="s">
        <v>23</v>
      </c>
      <c r="I30" t="s">
        <v>22</v>
      </c>
    </row>
    <row r="31" spans="1:14">
      <c r="A31" s="14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201"/>
  <sheetViews>
    <sheetView tabSelected="1" topLeftCell="BG63" zoomScale="82" zoomScaleNormal="88" workbookViewId="0">
      <selection activeCell="BR83" sqref="BR83"/>
    </sheetView>
  </sheetViews>
  <sheetFormatPr defaultColWidth="11" defaultRowHeight="15.75"/>
  <cols>
    <col min="1" max="1" width="21.6875" bestFit="1" customWidth="1"/>
    <col min="2" max="2" width="19.5" bestFit="1" customWidth="1"/>
    <col min="3" max="3" width="26.6875" bestFit="1" customWidth="1"/>
    <col min="4" max="4" width="18.1875" bestFit="1" customWidth="1"/>
    <col min="5" max="5" width="12.8125" bestFit="1" customWidth="1"/>
    <col min="6" max="6" width="14.5" bestFit="1" customWidth="1"/>
    <col min="7" max="7" width="9.8125" bestFit="1" customWidth="1"/>
    <col min="8" max="8" width="10.8125" bestFit="1" customWidth="1"/>
    <col min="9" max="9" width="7.5" bestFit="1" customWidth="1"/>
    <col min="10" max="10" width="13.1875" bestFit="1" customWidth="1"/>
    <col min="12" max="12" width="21.6875" bestFit="1" customWidth="1"/>
    <col min="13" max="13" width="13.3125" bestFit="1" customWidth="1"/>
    <col min="14" max="14" width="25.1875" bestFit="1" customWidth="1"/>
    <col min="15" max="15" width="16.8125" bestFit="1" customWidth="1"/>
    <col min="16" max="16" width="18.6875" bestFit="1" customWidth="1"/>
    <col min="17" max="17" width="8.5" bestFit="1" customWidth="1"/>
    <col min="18" max="18" width="9" bestFit="1" customWidth="1"/>
    <col min="19" max="19" width="15" bestFit="1" customWidth="1"/>
    <col min="21" max="21" width="63.6875" bestFit="1" customWidth="1"/>
    <col min="22" max="22" width="16.8125" bestFit="1" customWidth="1"/>
    <col min="23" max="23" width="25.6875" bestFit="1" customWidth="1"/>
    <col min="24" max="24" width="20.8125" bestFit="1" customWidth="1"/>
    <col min="25" max="25" width="14.5" bestFit="1" customWidth="1"/>
    <col min="26" max="26" width="9.3125" bestFit="1" customWidth="1"/>
    <col min="27" max="27" width="7.3125" bestFit="1" customWidth="1"/>
    <col min="28" max="28" width="6.5" bestFit="1" customWidth="1"/>
    <col min="30" max="30" width="35.5" bestFit="1" customWidth="1"/>
    <col min="31" max="31" width="24.8125" bestFit="1" customWidth="1"/>
    <col min="32" max="32" width="24.5" bestFit="1" customWidth="1"/>
    <col min="33" max="33" width="18.6875" bestFit="1" customWidth="1"/>
    <col min="35" max="35" width="10.1875" bestFit="1" customWidth="1"/>
    <col min="36" max="36" width="15" bestFit="1" customWidth="1"/>
    <col min="37" max="37" width="9" bestFit="1" customWidth="1"/>
    <col min="39" max="39" width="88" bestFit="1" customWidth="1"/>
    <col min="40" max="40" width="12.8125" bestFit="1" customWidth="1"/>
    <col min="41" max="41" width="30.6875" bestFit="1" customWidth="1"/>
    <col min="42" max="42" width="18.1875" bestFit="1" customWidth="1"/>
    <col min="43" max="43" width="11.8125" bestFit="1" customWidth="1"/>
    <col min="44" max="44" width="8.3125" bestFit="1" customWidth="1"/>
    <col min="46" max="46" width="59.5" bestFit="1" customWidth="1"/>
    <col min="47" max="47" width="19.1875" bestFit="1" customWidth="1"/>
    <col min="48" max="48" width="28" bestFit="1" customWidth="1"/>
    <col min="49" max="49" width="15" bestFit="1" customWidth="1"/>
    <col min="50" max="50" width="9.5" bestFit="1" customWidth="1"/>
    <col min="51" max="51" width="43" bestFit="1" customWidth="1"/>
    <col min="53" max="53" width="43.1875" bestFit="1" customWidth="1"/>
    <col min="54" max="54" width="39.8125" bestFit="1" customWidth="1"/>
    <col min="55" max="55" width="26.1875" bestFit="1" customWidth="1"/>
    <col min="56" max="56" width="18.6875" bestFit="1" customWidth="1"/>
    <col min="57" max="57" width="17.5" bestFit="1" customWidth="1"/>
    <col min="58" max="58" width="43.1875" style="6" bestFit="1" customWidth="1"/>
    <col min="60" max="60" width="49.6875" bestFit="1" customWidth="1"/>
    <col min="61" max="61" width="20.3125" bestFit="1" customWidth="1"/>
    <col min="62" max="62" width="43.6875" bestFit="1" customWidth="1"/>
    <col min="63" max="63" width="14.8125" bestFit="1" customWidth="1"/>
    <col min="64" max="64" width="13.8125" bestFit="1" customWidth="1"/>
    <col min="65" max="65" width="10.8125" bestFit="1" customWidth="1"/>
    <col min="66" max="66" width="11.3125" bestFit="1" customWidth="1"/>
    <col min="67" max="67" width="3.5" bestFit="1" customWidth="1"/>
    <col min="69" max="69" width="48.8125" bestFit="1" customWidth="1"/>
    <col min="70" max="70" width="20.1875" bestFit="1" customWidth="1"/>
    <col min="71" max="71" width="26.6875" bestFit="1" customWidth="1"/>
    <col min="72" max="72" width="17.3125" bestFit="1" customWidth="1"/>
    <col min="73" max="73" width="18.1875" bestFit="1" customWidth="1"/>
    <col min="74" max="74" width="17.8125" customWidth="1"/>
    <col min="76" max="76" width="59.1875" bestFit="1" customWidth="1"/>
    <col min="77" max="77" width="18.1875" bestFit="1" customWidth="1"/>
    <col min="78" max="78" width="25.1875" bestFit="1" customWidth="1"/>
    <col min="79" max="79" width="17.3125" bestFit="1" customWidth="1"/>
    <col min="80" max="80" width="15.5" customWidth="1"/>
    <col min="81" max="81" width="13.6875" customWidth="1"/>
    <col min="82" max="82" width="15.6875" customWidth="1"/>
    <col min="83" max="83" width="15.5" customWidth="1"/>
    <col min="86" max="86" width="30" customWidth="1"/>
    <col min="87" max="87" width="28.3125" bestFit="1" customWidth="1"/>
    <col min="88" max="88" width="26.6875" bestFit="1" customWidth="1"/>
    <col min="89" max="89" width="29.8125" bestFit="1" customWidth="1"/>
    <col min="91" max="91" width="19.8125" bestFit="1" customWidth="1"/>
    <col min="93" max="93" width="32.8125" customWidth="1"/>
    <col min="94" max="94" width="32.8125" bestFit="1" customWidth="1"/>
    <col min="95" max="95" width="30.6875" bestFit="1" customWidth="1"/>
    <col min="96" max="96" width="25.3125" bestFit="1" customWidth="1"/>
    <col min="97" max="97" width="14" customWidth="1"/>
    <col min="98" max="98" width="21.1875" customWidth="1"/>
  </cols>
  <sheetData>
    <row r="1" spans="1:98" ht="25.15">
      <c r="A1" s="5" t="s">
        <v>68</v>
      </c>
      <c r="B1" s="84" t="s">
        <v>99</v>
      </c>
      <c r="C1" s="118"/>
      <c r="D1" s="6"/>
      <c r="L1" s="5" t="s">
        <v>97</v>
      </c>
      <c r="M1" s="84" t="s">
        <v>430</v>
      </c>
      <c r="N1" s="117"/>
      <c r="O1" s="6"/>
      <c r="U1" s="5" t="s">
        <v>176</v>
      </c>
      <c r="V1" s="84" t="s">
        <v>431</v>
      </c>
      <c r="W1" s="117"/>
      <c r="X1" s="6"/>
      <c r="AD1" s="5" t="s">
        <v>184</v>
      </c>
      <c r="AE1" s="84" t="s">
        <v>432</v>
      </c>
      <c r="AF1" s="6"/>
      <c r="AG1" s="6"/>
      <c r="AM1" s="5" t="s">
        <v>185</v>
      </c>
      <c r="AN1" s="84" t="s">
        <v>433</v>
      </c>
      <c r="AO1" s="6"/>
      <c r="AP1" s="6"/>
      <c r="AT1" s="5" t="s">
        <v>186</v>
      </c>
      <c r="AU1" s="84" t="s">
        <v>434</v>
      </c>
      <c r="AV1" s="6"/>
      <c r="AW1" s="6"/>
      <c r="BA1" s="5" t="s">
        <v>187</v>
      </c>
      <c r="BB1" s="84" t="s">
        <v>435</v>
      </c>
      <c r="BC1" s="6"/>
      <c r="BD1" s="6"/>
      <c r="BH1" s="5" t="s">
        <v>188</v>
      </c>
      <c r="BI1" s="84" t="s">
        <v>436</v>
      </c>
      <c r="BJ1" s="6"/>
      <c r="BK1" s="6"/>
      <c r="BQ1" s="5" t="s">
        <v>190</v>
      </c>
      <c r="BR1" s="84" t="s">
        <v>448</v>
      </c>
      <c r="BS1" s="6"/>
      <c r="BT1" s="6"/>
      <c r="BX1" s="5" t="s">
        <v>191</v>
      </c>
      <c r="BY1" s="84" t="s">
        <v>438</v>
      </c>
      <c r="BZ1" s="6"/>
      <c r="CA1" s="6"/>
      <c r="CH1" s="5" t="s">
        <v>192</v>
      </c>
      <c r="CI1" s="84" t="s">
        <v>439</v>
      </c>
      <c r="CJ1" s="6"/>
      <c r="CK1" s="6"/>
      <c r="CO1" s="31" t="s">
        <v>193</v>
      </c>
      <c r="CP1" s="84" t="s">
        <v>440</v>
      </c>
      <c r="CQ1" s="33"/>
      <c r="CR1" s="33"/>
      <c r="CS1" s="32"/>
      <c r="CT1" s="32"/>
    </row>
    <row r="2" spans="1:98">
      <c r="C2" s="51"/>
      <c r="D2" s="6"/>
      <c r="N2" s="6"/>
      <c r="O2" s="6"/>
      <c r="W2" s="6"/>
      <c r="X2" s="6"/>
      <c r="AF2" s="6"/>
      <c r="AG2" s="6"/>
      <c r="AO2" s="6"/>
      <c r="AP2" s="6"/>
      <c r="AV2" s="6"/>
      <c r="AW2" s="6"/>
      <c r="BC2" s="6"/>
      <c r="BD2" s="6"/>
      <c r="BJ2" s="6"/>
      <c r="BK2" s="6"/>
      <c r="BS2" s="6"/>
      <c r="BT2" s="6"/>
      <c r="BZ2" s="6"/>
      <c r="CA2" s="6"/>
      <c r="CJ2" s="6"/>
      <c r="CK2" s="6"/>
      <c r="CO2" s="32"/>
      <c r="CP2" s="32"/>
      <c r="CQ2" s="33"/>
      <c r="CR2" s="33"/>
      <c r="CS2" s="32"/>
      <c r="CT2" s="32"/>
    </row>
    <row r="3" spans="1:98" ht="21">
      <c r="A3" s="10"/>
      <c r="B3" s="11" t="s">
        <v>69</v>
      </c>
      <c r="C3" s="103" t="s">
        <v>260</v>
      </c>
      <c r="D3" s="12"/>
      <c r="E3" s="10"/>
      <c r="F3" s="10"/>
      <c r="G3" s="10"/>
      <c r="H3" s="10"/>
      <c r="I3" s="10"/>
      <c r="J3" s="10"/>
      <c r="L3" s="10"/>
      <c r="M3" s="11" t="s">
        <v>69</v>
      </c>
      <c r="N3" s="103" t="s">
        <v>238</v>
      </c>
      <c r="O3" s="12"/>
      <c r="P3" s="10"/>
      <c r="Q3" s="10"/>
      <c r="R3" s="10"/>
      <c r="S3" s="10"/>
      <c r="U3" s="10"/>
      <c r="V3" s="11" t="s">
        <v>69</v>
      </c>
      <c r="W3" s="27" t="s">
        <v>154</v>
      </c>
      <c r="X3" s="12"/>
      <c r="Y3" s="10"/>
      <c r="Z3" s="10"/>
      <c r="AA3" s="10"/>
      <c r="AB3" s="10"/>
      <c r="AD3" s="10"/>
      <c r="AE3" s="11" t="s">
        <v>69</v>
      </c>
      <c r="AF3" s="103" t="s">
        <v>152</v>
      </c>
      <c r="AG3" s="12"/>
      <c r="AH3" s="10"/>
      <c r="AI3" s="10"/>
      <c r="AJ3" s="10"/>
      <c r="AK3" s="10"/>
      <c r="AM3" s="10"/>
      <c r="AN3" s="11" t="s">
        <v>69</v>
      </c>
      <c r="AO3" s="103" t="s">
        <v>535</v>
      </c>
      <c r="AP3" s="12"/>
      <c r="AQ3" s="10"/>
      <c r="AR3" s="10"/>
      <c r="AT3" s="10"/>
      <c r="AU3" s="11" t="s">
        <v>69</v>
      </c>
      <c r="AV3" s="103" t="s">
        <v>470</v>
      </c>
      <c r="AW3" s="12"/>
      <c r="AX3" s="10"/>
      <c r="AY3" s="10"/>
      <c r="BA3" s="10"/>
      <c r="BB3" s="11" t="s">
        <v>69</v>
      </c>
      <c r="BC3" s="103" t="s">
        <v>479</v>
      </c>
      <c r="BD3" s="12"/>
      <c r="BE3" s="10"/>
      <c r="BF3" s="12" t="s">
        <v>645</v>
      </c>
      <c r="BH3" s="10"/>
      <c r="BI3" s="11" t="s">
        <v>69</v>
      </c>
      <c r="BJ3" s="103" t="s">
        <v>134</v>
      </c>
      <c r="BK3" s="12"/>
      <c r="BL3" s="10"/>
      <c r="BM3" s="10"/>
      <c r="BN3" s="10"/>
      <c r="BO3" s="10"/>
      <c r="BQ3" s="10"/>
      <c r="BR3" s="11" t="s">
        <v>69</v>
      </c>
      <c r="BS3" s="103" t="s">
        <v>493</v>
      </c>
      <c r="BT3" s="12"/>
      <c r="BU3" s="10"/>
      <c r="BV3" s="10"/>
      <c r="BX3" s="10"/>
      <c r="BY3" s="11" t="s">
        <v>69</v>
      </c>
      <c r="BZ3" s="103" t="s">
        <v>499</v>
      </c>
      <c r="CA3" s="12"/>
      <c r="CB3" s="10"/>
      <c r="CC3" s="10"/>
      <c r="CD3" s="10"/>
      <c r="CE3" s="10"/>
      <c r="CF3" s="10"/>
      <c r="CH3" s="10"/>
      <c r="CI3" s="11" t="s">
        <v>69</v>
      </c>
      <c r="CJ3" s="103" t="s">
        <v>257</v>
      </c>
      <c r="CK3" s="12"/>
      <c r="CL3" s="10"/>
      <c r="CM3" s="10"/>
      <c r="CO3" s="34"/>
      <c r="CP3" s="35" t="s">
        <v>69</v>
      </c>
      <c r="CQ3" s="82" t="s">
        <v>502</v>
      </c>
      <c r="CR3" s="37"/>
      <c r="CS3" s="34"/>
      <c r="CT3" s="34"/>
    </row>
    <row r="4" spans="1:98">
      <c r="A4" s="10"/>
      <c r="B4" s="10">
        <v>1</v>
      </c>
      <c r="C4" s="12" t="s">
        <v>543</v>
      </c>
      <c r="D4" s="12" t="s">
        <v>19</v>
      </c>
      <c r="E4" s="12"/>
      <c r="F4" s="10"/>
      <c r="G4" s="10"/>
      <c r="H4" s="10"/>
      <c r="I4" s="10"/>
      <c r="J4" s="10"/>
      <c r="L4" s="10"/>
      <c r="M4" s="10">
        <v>1</v>
      </c>
      <c r="N4" s="12" t="s">
        <v>445</v>
      </c>
      <c r="O4" s="12" t="s">
        <v>573</v>
      </c>
      <c r="P4" s="12"/>
      <c r="Q4" s="10"/>
      <c r="R4" s="10"/>
      <c r="S4" s="10"/>
      <c r="U4" s="10"/>
      <c r="V4" s="10">
        <v>1</v>
      </c>
      <c r="W4" s="12" t="s">
        <v>590</v>
      </c>
      <c r="X4" s="12" t="s">
        <v>574</v>
      </c>
      <c r="Y4" s="12"/>
      <c r="Z4" s="12"/>
      <c r="AA4" s="12"/>
      <c r="AB4" s="10"/>
      <c r="AD4" s="10" t="s">
        <v>220</v>
      </c>
      <c r="AE4" s="10">
        <v>1</v>
      </c>
      <c r="AF4" s="12" t="s">
        <v>22</v>
      </c>
      <c r="AG4" s="12" t="s">
        <v>150</v>
      </c>
      <c r="AH4" s="12"/>
      <c r="AI4" s="10"/>
      <c r="AJ4" s="10"/>
      <c r="AK4" s="10"/>
      <c r="AM4" s="10"/>
      <c r="AN4" s="10">
        <v>1</v>
      </c>
      <c r="AO4" s="12" t="s">
        <v>587</v>
      </c>
      <c r="AP4" s="12" t="s">
        <v>20</v>
      </c>
      <c r="AQ4" s="12"/>
      <c r="AR4" s="10"/>
      <c r="AT4" s="10"/>
      <c r="AU4" s="10">
        <v>1</v>
      </c>
      <c r="AV4" s="12" t="s">
        <v>122</v>
      </c>
      <c r="AW4" s="12" t="s">
        <v>48</v>
      </c>
      <c r="AX4" s="12" t="s">
        <v>23</v>
      </c>
      <c r="AY4" s="10"/>
      <c r="BA4" s="10"/>
      <c r="BB4" s="10">
        <v>1</v>
      </c>
      <c r="BC4" s="12" t="s">
        <v>70</v>
      </c>
      <c r="BD4" s="12" t="s">
        <v>4</v>
      </c>
      <c r="BE4" s="12"/>
      <c r="BF4" s="12"/>
      <c r="BH4" s="10"/>
      <c r="BI4" s="10">
        <v>1</v>
      </c>
      <c r="BJ4" s="12" t="s">
        <v>558</v>
      </c>
      <c r="BK4" s="12" t="s">
        <v>40</v>
      </c>
      <c r="BL4" s="12"/>
      <c r="BM4" s="12"/>
      <c r="BN4" s="12"/>
      <c r="BO4" s="10"/>
      <c r="BQ4" s="10"/>
      <c r="BR4" s="10">
        <v>1</v>
      </c>
      <c r="BS4" s="12" t="s">
        <v>195</v>
      </c>
      <c r="BT4" s="12" t="s">
        <v>445</v>
      </c>
      <c r="BU4" s="12"/>
      <c r="BV4" s="10"/>
      <c r="BX4" s="10"/>
      <c r="BY4" s="10">
        <v>1</v>
      </c>
      <c r="BZ4" s="12" t="s">
        <v>144</v>
      </c>
      <c r="CA4" s="12" t="s">
        <v>13</v>
      </c>
      <c r="CB4" s="12"/>
      <c r="CC4" s="10"/>
      <c r="CD4" s="10"/>
      <c r="CE4" s="10"/>
      <c r="CF4" s="10"/>
      <c r="CH4" s="10"/>
      <c r="CI4" s="10">
        <v>1</v>
      </c>
      <c r="CJ4" s="12" t="s">
        <v>4</v>
      </c>
      <c r="CK4" s="12" t="s">
        <v>117</v>
      </c>
      <c r="CL4" s="12"/>
      <c r="CM4" s="10"/>
      <c r="CO4" s="34"/>
      <c r="CP4" s="34">
        <v>1</v>
      </c>
      <c r="CQ4" s="37" t="s">
        <v>163</v>
      </c>
      <c r="CR4" s="37" t="s">
        <v>23</v>
      </c>
      <c r="CS4" s="37"/>
      <c r="CT4" s="34"/>
    </row>
    <row r="5" spans="1:98">
      <c r="A5" s="10"/>
      <c r="B5" s="10"/>
      <c r="C5" s="12">
        <v>2</v>
      </c>
      <c r="D5" s="12">
        <v>0</v>
      </c>
      <c r="E5" s="12"/>
      <c r="F5" s="10"/>
      <c r="G5" s="10"/>
      <c r="H5" s="10"/>
      <c r="I5" s="10"/>
      <c r="J5" s="10"/>
      <c r="L5" s="10"/>
      <c r="M5" s="10"/>
      <c r="N5" s="12">
        <v>0</v>
      </c>
      <c r="O5" s="12">
        <v>1</v>
      </c>
      <c r="P5" s="12"/>
      <c r="Q5" s="10"/>
      <c r="R5" s="10"/>
      <c r="S5" s="10"/>
      <c r="U5" s="10"/>
      <c r="V5" s="10"/>
      <c r="W5" s="12">
        <v>0</v>
      </c>
      <c r="X5" s="12">
        <v>1</v>
      </c>
      <c r="Y5" s="12"/>
      <c r="Z5" s="12"/>
      <c r="AA5" s="12"/>
      <c r="AB5" s="10"/>
      <c r="AD5" s="10"/>
      <c r="AE5" s="10"/>
      <c r="AF5" s="12">
        <v>0</v>
      </c>
      <c r="AG5" s="12">
        <v>1</v>
      </c>
      <c r="AH5" s="12"/>
      <c r="AI5" s="10"/>
      <c r="AJ5" s="10"/>
      <c r="AK5" s="10"/>
      <c r="AM5" s="10"/>
      <c r="AN5" s="10"/>
      <c r="AO5" s="12">
        <v>3</v>
      </c>
      <c r="AP5" s="12">
        <v>0</v>
      </c>
      <c r="AQ5" s="12"/>
      <c r="AR5" s="10"/>
      <c r="AT5" s="10"/>
      <c r="AU5" s="10"/>
      <c r="AV5" s="12">
        <v>1</v>
      </c>
      <c r="AW5" s="12">
        <v>0</v>
      </c>
      <c r="AX5" s="12">
        <v>0</v>
      </c>
      <c r="AY5" s="10"/>
      <c r="BA5" s="10"/>
      <c r="BB5" s="10"/>
      <c r="BC5" s="12">
        <v>2</v>
      </c>
      <c r="BD5" s="12">
        <v>0</v>
      </c>
      <c r="BE5" s="12"/>
      <c r="BF5" s="12"/>
      <c r="BH5" s="10"/>
      <c r="BI5" s="10"/>
      <c r="BJ5" s="12">
        <v>2</v>
      </c>
      <c r="BK5" s="12">
        <v>0</v>
      </c>
      <c r="BL5" s="12"/>
      <c r="BM5" s="12"/>
      <c r="BN5" s="12"/>
      <c r="BO5" s="10"/>
      <c r="BQ5" s="10"/>
      <c r="BR5" s="10"/>
      <c r="BS5" s="12">
        <v>3</v>
      </c>
      <c r="BT5" s="12">
        <v>0</v>
      </c>
      <c r="BU5" s="12"/>
      <c r="BV5" s="10"/>
      <c r="BX5" s="10"/>
      <c r="BY5" s="10"/>
      <c r="BZ5" s="12">
        <v>2</v>
      </c>
      <c r="CA5" s="12">
        <v>0</v>
      </c>
      <c r="CB5" s="12"/>
      <c r="CC5" s="10"/>
      <c r="CD5" s="10"/>
      <c r="CE5" s="10"/>
      <c r="CF5" s="10"/>
      <c r="CH5" s="10"/>
      <c r="CI5" s="10"/>
      <c r="CJ5" s="12">
        <v>0</v>
      </c>
      <c r="CK5" s="12">
        <v>3</v>
      </c>
      <c r="CL5" s="12"/>
      <c r="CM5" s="10"/>
      <c r="CO5" s="34"/>
      <c r="CP5" s="34"/>
      <c r="CQ5" s="37">
        <v>1</v>
      </c>
      <c r="CR5" s="37">
        <v>0</v>
      </c>
      <c r="CS5" s="37"/>
      <c r="CT5" s="34"/>
    </row>
    <row r="6" spans="1:98">
      <c r="A6" s="10"/>
      <c r="B6" s="10">
        <v>2</v>
      </c>
      <c r="C6" s="12" t="s">
        <v>10</v>
      </c>
      <c r="D6" s="12" t="s">
        <v>544</v>
      </c>
      <c r="E6" s="12"/>
      <c r="F6" s="10"/>
      <c r="G6" s="10"/>
      <c r="H6" s="10"/>
      <c r="I6" s="10"/>
      <c r="J6" s="10"/>
      <c r="L6" s="10"/>
      <c r="M6" s="10">
        <v>2</v>
      </c>
      <c r="N6" s="12" t="s">
        <v>574</v>
      </c>
      <c r="O6" s="12" t="s">
        <v>6</v>
      </c>
      <c r="P6" s="12"/>
      <c r="Q6" s="10"/>
      <c r="R6" s="10"/>
      <c r="S6" s="10"/>
      <c r="U6" s="10"/>
      <c r="V6" s="10">
        <v>2</v>
      </c>
      <c r="W6" s="12" t="s">
        <v>22</v>
      </c>
      <c r="X6" s="12" t="s">
        <v>568</v>
      </c>
      <c r="Y6" s="12"/>
      <c r="Z6" s="12"/>
      <c r="AA6" s="12"/>
      <c r="AB6" s="10"/>
      <c r="AD6" s="10" t="s">
        <v>601</v>
      </c>
      <c r="AE6" s="10">
        <v>2</v>
      </c>
      <c r="AF6" s="12" t="s">
        <v>602</v>
      </c>
      <c r="AG6" s="12" t="s">
        <v>445</v>
      </c>
      <c r="AH6" s="12"/>
      <c r="AI6" s="10"/>
      <c r="AJ6" s="10"/>
      <c r="AK6" s="10"/>
      <c r="AM6" s="10"/>
      <c r="AN6" s="10">
        <v>2</v>
      </c>
      <c r="AO6" s="12" t="s">
        <v>4</v>
      </c>
      <c r="AP6" s="12" t="s">
        <v>545</v>
      </c>
      <c r="AQ6" s="12"/>
      <c r="AR6" s="10"/>
      <c r="AT6" s="10"/>
      <c r="AU6" s="10">
        <v>2</v>
      </c>
      <c r="AV6" s="12" t="s">
        <v>54</v>
      </c>
      <c r="AW6" s="12" t="s">
        <v>544</v>
      </c>
      <c r="AX6" s="12"/>
      <c r="AY6" s="10"/>
      <c r="BA6" s="10"/>
      <c r="BB6" s="10">
        <v>2</v>
      </c>
      <c r="BC6" s="12" t="s">
        <v>142</v>
      </c>
      <c r="BD6" s="12" t="s">
        <v>49</v>
      </c>
      <c r="BE6" s="12"/>
      <c r="BF6" s="12"/>
      <c r="BH6" s="10"/>
      <c r="BI6" s="10">
        <v>2</v>
      </c>
      <c r="BJ6" s="12" t="s">
        <v>117</v>
      </c>
      <c r="BK6" s="12" t="s">
        <v>36</v>
      </c>
      <c r="BL6" s="12"/>
      <c r="BM6" s="12"/>
      <c r="BN6" s="12"/>
      <c r="BO6" s="10"/>
      <c r="BQ6" s="10"/>
      <c r="BR6" s="10">
        <v>2</v>
      </c>
      <c r="BS6" s="12" t="s">
        <v>40</v>
      </c>
      <c r="BT6" s="12" t="s">
        <v>150</v>
      </c>
      <c r="BU6" s="12"/>
      <c r="BV6" s="10"/>
      <c r="BX6" s="10"/>
      <c r="BY6" s="10">
        <v>2</v>
      </c>
      <c r="BZ6" s="12" t="s">
        <v>150</v>
      </c>
      <c r="CA6" s="12" t="s">
        <v>20</v>
      </c>
      <c r="CB6" s="12"/>
      <c r="CC6" s="10"/>
      <c r="CD6" s="10"/>
      <c r="CE6" s="10"/>
      <c r="CF6" s="10"/>
      <c r="CH6" s="10"/>
      <c r="CI6" s="10">
        <v>2</v>
      </c>
      <c r="CJ6" s="12" t="s">
        <v>445</v>
      </c>
      <c r="CK6" s="12" t="s">
        <v>163</v>
      </c>
      <c r="CL6" s="12"/>
      <c r="CM6" s="10"/>
      <c r="CO6" s="34"/>
      <c r="CP6" s="34">
        <v>2</v>
      </c>
      <c r="CQ6" s="37" t="s">
        <v>166</v>
      </c>
      <c r="CR6" s="37" t="s">
        <v>445</v>
      </c>
      <c r="CS6" s="37"/>
      <c r="CT6" s="34"/>
    </row>
    <row r="7" spans="1:98">
      <c r="A7" s="10"/>
      <c r="B7" s="10"/>
      <c r="C7" s="12">
        <v>0</v>
      </c>
      <c r="D7" s="12">
        <v>1</v>
      </c>
      <c r="E7" s="12"/>
      <c r="F7" s="10"/>
      <c r="G7" s="10"/>
      <c r="H7" s="10"/>
      <c r="I7" s="10"/>
      <c r="J7" s="10"/>
      <c r="L7" s="10"/>
      <c r="M7" s="10"/>
      <c r="N7" s="12">
        <v>2</v>
      </c>
      <c r="O7" s="12">
        <v>0</v>
      </c>
      <c r="P7" s="12"/>
      <c r="Q7" s="10"/>
      <c r="R7" s="10"/>
      <c r="S7" s="10"/>
      <c r="U7" s="10"/>
      <c r="V7" s="10"/>
      <c r="W7" s="12">
        <v>0</v>
      </c>
      <c r="X7" s="12">
        <v>3</v>
      </c>
      <c r="Y7" s="12"/>
      <c r="Z7" s="12"/>
      <c r="AA7" s="12"/>
      <c r="AB7" s="10"/>
      <c r="AD7" s="10"/>
      <c r="AE7" s="10"/>
      <c r="AF7" s="12">
        <v>1</v>
      </c>
      <c r="AG7" s="12">
        <v>0</v>
      </c>
      <c r="AH7" s="12"/>
      <c r="AI7" s="10"/>
      <c r="AJ7" s="10"/>
      <c r="AK7" s="10"/>
      <c r="AM7" s="10"/>
      <c r="AN7" s="10"/>
      <c r="AO7" s="12">
        <v>0</v>
      </c>
      <c r="AP7" s="12">
        <v>3</v>
      </c>
      <c r="AQ7" s="12"/>
      <c r="AR7" s="10"/>
      <c r="AT7" s="10"/>
      <c r="AU7" s="10"/>
      <c r="AV7" s="12">
        <v>0</v>
      </c>
      <c r="AW7" s="12">
        <v>1</v>
      </c>
      <c r="AX7" s="12"/>
      <c r="AY7" s="10"/>
      <c r="BA7" s="10"/>
      <c r="BB7" s="10"/>
      <c r="BC7" s="12">
        <v>1</v>
      </c>
      <c r="BD7" s="12">
        <v>0</v>
      </c>
      <c r="BE7" s="12"/>
      <c r="BF7" s="12"/>
      <c r="BH7" s="10"/>
      <c r="BI7" s="10"/>
      <c r="BJ7" s="12">
        <v>2</v>
      </c>
      <c r="BK7" s="12">
        <v>0</v>
      </c>
      <c r="BL7" s="12"/>
      <c r="BM7" s="12"/>
      <c r="BN7" s="12"/>
      <c r="BO7" s="10"/>
      <c r="BQ7" s="10"/>
      <c r="BR7" s="10"/>
      <c r="BS7" s="12">
        <v>0</v>
      </c>
      <c r="BT7" s="12">
        <v>1</v>
      </c>
      <c r="BU7" s="12"/>
      <c r="BV7" s="10"/>
      <c r="BX7" s="10"/>
      <c r="BY7" s="10"/>
      <c r="BZ7" s="12">
        <v>2</v>
      </c>
      <c r="CA7" s="12">
        <v>0</v>
      </c>
      <c r="CB7" s="12"/>
      <c r="CC7" s="10"/>
      <c r="CD7" s="10"/>
      <c r="CE7" s="10"/>
      <c r="CF7" s="10"/>
      <c r="CH7" s="10"/>
      <c r="CI7" s="10"/>
      <c r="CJ7" s="12">
        <v>0</v>
      </c>
      <c r="CK7" s="12">
        <v>3</v>
      </c>
      <c r="CL7" s="12"/>
      <c r="CM7" s="10"/>
      <c r="CO7" s="34"/>
      <c r="CP7" s="34"/>
      <c r="CQ7" s="37">
        <v>2</v>
      </c>
      <c r="CR7" s="37">
        <v>0</v>
      </c>
      <c r="CS7" s="37"/>
      <c r="CT7" s="34"/>
    </row>
    <row r="8" spans="1:98">
      <c r="A8" s="10"/>
      <c r="B8" s="10">
        <v>3</v>
      </c>
      <c r="C8" s="12" t="s">
        <v>8</v>
      </c>
      <c r="D8" s="12" t="s">
        <v>83</v>
      </c>
      <c r="E8" s="10"/>
      <c r="F8" s="10"/>
      <c r="G8" s="10"/>
      <c r="H8" s="10"/>
      <c r="I8" s="10"/>
      <c r="J8" s="10"/>
      <c r="L8" s="10" t="s">
        <v>572</v>
      </c>
      <c r="M8" s="10">
        <v>3</v>
      </c>
      <c r="N8" s="12" t="s">
        <v>37</v>
      </c>
      <c r="O8" s="12" t="s">
        <v>558</v>
      </c>
      <c r="P8" s="10"/>
      <c r="Q8" s="10"/>
      <c r="R8" s="10"/>
      <c r="S8" s="10"/>
      <c r="U8" s="10"/>
      <c r="V8" s="10">
        <v>3</v>
      </c>
      <c r="W8" s="12" t="s">
        <v>83</v>
      </c>
      <c r="X8" s="12" t="s">
        <v>291</v>
      </c>
      <c r="Y8" s="10"/>
      <c r="Z8" s="10"/>
      <c r="AA8" s="10"/>
      <c r="AB8" s="10"/>
      <c r="AD8" s="10" t="s">
        <v>220</v>
      </c>
      <c r="AE8" s="10">
        <v>3</v>
      </c>
      <c r="AF8" s="12" t="s">
        <v>52</v>
      </c>
      <c r="AG8" s="12" t="s">
        <v>574</v>
      </c>
      <c r="AH8" s="10"/>
      <c r="AI8" s="10"/>
      <c r="AJ8" s="10"/>
      <c r="AK8" s="10"/>
      <c r="AM8" s="10" t="s">
        <v>607</v>
      </c>
      <c r="AN8" s="10">
        <v>3</v>
      </c>
      <c r="AO8" s="12" t="s">
        <v>124</v>
      </c>
      <c r="AP8" s="12" t="s">
        <v>52</v>
      </c>
      <c r="AQ8" s="10"/>
      <c r="AR8" s="10"/>
      <c r="AT8" s="10"/>
      <c r="AU8" s="10">
        <v>3</v>
      </c>
      <c r="AV8" s="12" t="s">
        <v>14</v>
      </c>
      <c r="AW8" s="12" t="s">
        <v>596</v>
      </c>
      <c r="AX8" s="10"/>
      <c r="AY8" s="10"/>
      <c r="BA8" s="10"/>
      <c r="BB8" s="10">
        <v>3</v>
      </c>
      <c r="BC8" s="12" t="s">
        <v>156</v>
      </c>
      <c r="BD8" s="12" t="s">
        <v>56</v>
      </c>
      <c r="BE8" s="10"/>
      <c r="BF8" s="12"/>
      <c r="BH8" s="10" t="s">
        <v>312</v>
      </c>
      <c r="BI8" s="10">
        <v>3</v>
      </c>
      <c r="BJ8" s="12" t="s">
        <v>20</v>
      </c>
      <c r="BK8" s="12" t="s">
        <v>166</v>
      </c>
      <c r="BL8" s="10"/>
      <c r="BM8" s="10"/>
      <c r="BN8" s="10"/>
      <c r="BO8" s="10"/>
      <c r="BQ8" s="10"/>
      <c r="BR8" s="10">
        <v>3</v>
      </c>
      <c r="BS8" s="12" t="s">
        <v>558</v>
      </c>
      <c r="BT8" s="12" t="s">
        <v>22</v>
      </c>
      <c r="BU8" s="10"/>
      <c r="BV8" s="10"/>
      <c r="BX8" s="10"/>
      <c r="BY8" s="10">
        <v>3</v>
      </c>
      <c r="BZ8" s="12" t="s">
        <v>163</v>
      </c>
      <c r="CA8" s="12" t="s">
        <v>40</v>
      </c>
      <c r="CB8" s="10"/>
      <c r="CC8" s="10"/>
      <c r="CD8" s="10"/>
      <c r="CE8" s="10"/>
      <c r="CF8" s="10"/>
      <c r="CH8" s="10"/>
      <c r="CI8" s="10">
        <v>3</v>
      </c>
      <c r="CJ8" s="12" t="s">
        <v>144</v>
      </c>
      <c r="CK8" s="12" t="s">
        <v>13</v>
      </c>
      <c r="CL8" s="10"/>
      <c r="CM8" s="10"/>
      <c r="CO8" s="34"/>
      <c r="CP8" s="34">
        <v>3</v>
      </c>
      <c r="CQ8" s="37" t="s">
        <v>20</v>
      </c>
      <c r="CR8" s="37" t="s">
        <v>92</v>
      </c>
      <c r="CS8" s="34"/>
      <c r="CT8" s="34"/>
    </row>
    <row r="9" spans="1:98">
      <c r="A9" s="10"/>
      <c r="B9" s="10"/>
      <c r="C9" s="12">
        <v>0</v>
      </c>
      <c r="D9" s="12">
        <v>1</v>
      </c>
      <c r="E9" s="12"/>
      <c r="F9" s="10"/>
      <c r="G9" s="10"/>
      <c r="H9" s="10"/>
      <c r="I9" s="10"/>
      <c r="J9" s="10"/>
      <c r="L9" s="10"/>
      <c r="M9" s="10"/>
      <c r="N9" s="12">
        <v>0</v>
      </c>
      <c r="O9" s="12">
        <v>2</v>
      </c>
      <c r="P9" s="12"/>
      <c r="Q9" s="10"/>
      <c r="R9" s="10"/>
      <c r="S9" s="10"/>
      <c r="U9" s="10"/>
      <c r="V9" s="10"/>
      <c r="W9" s="12">
        <v>1</v>
      </c>
      <c r="X9" s="12">
        <v>0</v>
      </c>
      <c r="Y9" s="12"/>
      <c r="Z9" s="12"/>
      <c r="AA9" s="12"/>
      <c r="AB9" s="10"/>
      <c r="AD9" s="10"/>
      <c r="AE9" s="10"/>
      <c r="AF9" s="12">
        <v>0</v>
      </c>
      <c r="AG9" s="12">
        <v>2</v>
      </c>
      <c r="AH9" s="12"/>
      <c r="AI9" s="10"/>
      <c r="AJ9" s="10"/>
      <c r="AK9" s="10"/>
      <c r="AM9" s="123">
        <v>0.13194444444444445</v>
      </c>
      <c r="AN9" s="10"/>
      <c r="AO9" s="12">
        <v>1</v>
      </c>
      <c r="AP9" s="12">
        <v>0</v>
      </c>
      <c r="AQ9" s="12"/>
      <c r="AR9" s="10"/>
      <c r="AT9" s="10"/>
      <c r="AU9" s="10"/>
      <c r="AV9" s="12">
        <v>0</v>
      </c>
      <c r="AW9" s="12">
        <v>1</v>
      </c>
      <c r="AX9" s="12"/>
      <c r="AY9" s="10"/>
      <c r="BA9" s="10"/>
      <c r="BB9" s="10"/>
      <c r="BC9" s="12">
        <v>1</v>
      </c>
      <c r="BD9" s="12">
        <v>0</v>
      </c>
      <c r="BE9" s="12"/>
      <c r="BF9" s="12"/>
      <c r="BH9" s="10"/>
      <c r="BI9" s="10"/>
      <c r="BJ9" s="12">
        <v>0</v>
      </c>
      <c r="BK9" s="12">
        <v>3</v>
      </c>
      <c r="BL9" s="12"/>
      <c r="BM9" s="12"/>
      <c r="BN9" s="12"/>
      <c r="BO9" s="10"/>
      <c r="BQ9" s="10"/>
      <c r="BR9" s="10"/>
      <c r="BS9" s="12">
        <v>2</v>
      </c>
      <c r="BT9" s="12">
        <v>0</v>
      </c>
      <c r="BU9" s="12"/>
      <c r="BV9" s="10"/>
      <c r="BX9" s="10"/>
      <c r="BY9" s="10"/>
      <c r="BZ9" s="12">
        <v>1</v>
      </c>
      <c r="CA9" s="12">
        <v>0</v>
      </c>
      <c r="CB9" s="12"/>
      <c r="CC9" s="10"/>
      <c r="CD9" s="10"/>
      <c r="CE9" s="10"/>
      <c r="CF9" s="10"/>
      <c r="CH9" s="10"/>
      <c r="CI9" s="10"/>
      <c r="CJ9" s="12">
        <v>1</v>
      </c>
      <c r="CK9" s="12">
        <v>0</v>
      </c>
      <c r="CL9" s="12"/>
      <c r="CM9" s="10"/>
      <c r="CO9" s="34"/>
      <c r="CP9" s="34"/>
      <c r="CQ9" s="37">
        <v>0</v>
      </c>
      <c r="CR9" s="37">
        <v>1</v>
      </c>
      <c r="CS9" s="37"/>
      <c r="CT9" s="34"/>
    </row>
    <row r="10" spans="1:98">
      <c r="A10" s="10"/>
      <c r="B10" s="10">
        <v>4</v>
      </c>
      <c r="C10" s="12" t="s">
        <v>545</v>
      </c>
      <c r="D10" s="12" t="s">
        <v>22</v>
      </c>
      <c r="E10" s="12"/>
      <c r="F10" s="10"/>
      <c r="G10" s="10"/>
      <c r="H10" s="10"/>
      <c r="I10" s="10"/>
      <c r="J10" s="10"/>
      <c r="L10" s="10"/>
      <c r="M10" s="10">
        <v>4</v>
      </c>
      <c r="N10" s="12" t="s">
        <v>163</v>
      </c>
      <c r="O10" s="12" t="s">
        <v>38</v>
      </c>
      <c r="P10" s="12"/>
      <c r="Q10" s="10"/>
      <c r="R10" s="10"/>
      <c r="S10" s="10"/>
      <c r="U10" s="10"/>
      <c r="V10" s="10">
        <v>4</v>
      </c>
      <c r="W10" s="12" t="s">
        <v>4</v>
      </c>
      <c r="X10" s="12" t="s">
        <v>195</v>
      </c>
      <c r="Y10" s="12"/>
      <c r="Z10" s="12"/>
      <c r="AA10" s="12"/>
      <c r="AB10" s="10"/>
      <c r="AD10" s="10"/>
      <c r="AE10" s="10">
        <v>4</v>
      </c>
      <c r="AF10" s="12" t="s">
        <v>568</v>
      </c>
      <c r="AG10" s="12" t="s">
        <v>6</v>
      </c>
      <c r="AH10" s="12"/>
      <c r="AI10" s="10"/>
      <c r="AJ10" s="10"/>
      <c r="AK10" s="10"/>
      <c r="AM10" s="10" t="s">
        <v>608</v>
      </c>
      <c r="AN10" s="10">
        <v>4</v>
      </c>
      <c r="AO10" s="12" t="s">
        <v>195</v>
      </c>
      <c r="AP10" s="12" t="s">
        <v>12</v>
      </c>
      <c r="AQ10" s="12"/>
      <c r="AR10" s="10"/>
      <c r="AT10" s="10"/>
      <c r="AU10" s="10">
        <v>4</v>
      </c>
      <c r="AV10" s="12" t="s">
        <v>84</v>
      </c>
      <c r="AW10" s="12" t="s">
        <v>83</v>
      </c>
      <c r="AX10" s="12"/>
      <c r="AY10" s="10"/>
      <c r="BA10" s="10" t="s">
        <v>642</v>
      </c>
      <c r="BB10" s="10">
        <v>4</v>
      </c>
      <c r="BC10" s="12" t="s">
        <v>445</v>
      </c>
      <c r="BD10" s="12" t="s">
        <v>57</v>
      </c>
      <c r="BE10" s="12" t="s">
        <v>603</v>
      </c>
      <c r="BF10" s="12" t="s">
        <v>291</v>
      </c>
      <c r="BH10" s="10"/>
      <c r="BI10" s="10">
        <v>4</v>
      </c>
      <c r="BJ10" s="12" t="s">
        <v>70</v>
      </c>
      <c r="BK10" s="12" t="s">
        <v>42</v>
      </c>
      <c r="BL10" s="12"/>
      <c r="BM10" s="12"/>
      <c r="BN10" s="12"/>
      <c r="BO10" s="10"/>
      <c r="BQ10" s="10" t="s">
        <v>665</v>
      </c>
      <c r="BR10" s="10">
        <v>4</v>
      </c>
      <c r="BS10" s="12" t="s">
        <v>51</v>
      </c>
      <c r="BT10" s="12" t="s">
        <v>83</v>
      </c>
      <c r="BU10" s="12"/>
      <c r="BV10" s="10"/>
      <c r="BX10" s="10"/>
      <c r="BY10" s="10">
        <v>4</v>
      </c>
      <c r="BZ10" s="12" t="s">
        <v>166</v>
      </c>
      <c r="CA10" s="12" t="s">
        <v>445</v>
      </c>
      <c r="CB10" s="12"/>
      <c r="CC10" s="10"/>
      <c r="CD10" s="10"/>
      <c r="CE10" s="10"/>
      <c r="CF10" s="10"/>
      <c r="CH10" s="10"/>
      <c r="CI10" s="10">
        <v>4</v>
      </c>
      <c r="CJ10" s="12" t="s">
        <v>52</v>
      </c>
      <c r="CK10" s="12" t="s">
        <v>142</v>
      </c>
      <c r="CL10" s="12"/>
      <c r="CM10" s="10"/>
      <c r="CO10" s="34"/>
      <c r="CP10" s="34">
        <v>4</v>
      </c>
      <c r="CQ10" s="37" t="s">
        <v>543</v>
      </c>
      <c r="CR10" s="37" t="s">
        <v>4</v>
      </c>
      <c r="CS10" s="37"/>
      <c r="CT10" s="34"/>
    </row>
    <row r="11" spans="1:98">
      <c r="A11" s="10"/>
      <c r="B11" s="10"/>
      <c r="C11" s="12">
        <v>3</v>
      </c>
      <c r="D11" s="12">
        <v>0</v>
      </c>
      <c r="E11" s="12"/>
      <c r="F11" s="10"/>
      <c r="G11" s="10"/>
      <c r="H11" s="10"/>
      <c r="I11" s="10"/>
      <c r="J11" s="10"/>
      <c r="L11" s="10"/>
      <c r="M11" s="10"/>
      <c r="N11" s="12">
        <v>2</v>
      </c>
      <c r="O11" s="12">
        <v>0</v>
      </c>
      <c r="P11" s="12"/>
      <c r="Q11" s="10"/>
      <c r="R11" s="10"/>
      <c r="S11" s="10"/>
      <c r="U11" s="10"/>
      <c r="V11" s="10"/>
      <c r="W11" s="12">
        <v>0</v>
      </c>
      <c r="X11" s="12">
        <v>3</v>
      </c>
      <c r="Y11" s="12"/>
      <c r="Z11" s="12"/>
      <c r="AA11" s="12"/>
      <c r="AB11" s="10"/>
      <c r="AD11" s="10"/>
      <c r="AE11" s="10"/>
      <c r="AF11" s="12">
        <v>2</v>
      </c>
      <c r="AG11" s="12">
        <v>0</v>
      </c>
      <c r="AH11" s="12"/>
      <c r="AI11" s="10"/>
      <c r="AJ11" s="10"/>
      <c r="AK11" s="10"/>
      <c r="AM11" s="123">
        <v>0.13819444444444443</v>
      </c>
      <c r="AN11" s="10"/>
      <c r="AO11" s="12">
        <v>2</v>
      </c>
      <c r="AP11" s="12">
        <v>0</v>
      </c>
      <c r="AQ11" s="12"/>
      <c r="AR11" s="10"/>
      <c r="AT11" s="10"/>
      <c r="AU11" s="10"/>
      <c r="AV11" s="12">
        <v>0</v>
      </c>
      <c r="AW11" s="12">
        <v>1</v>
      </c>
      <c r="AX11" s="12"/>
      <c r="AY11" s="10"/>
      <c r="BA11" s="10"/>
      <c r="BB11" s="10"/>
      <c r="BC11" s="12">
        <v>0</v>
      </c>
      <c r="BD11" s="12">
        <v>0</v>
      </c>
      <c r="BE11" s="12">
        <v>1</v>
      </c>
      <c r="BF11" s="12">
        <v>0</v>
      </c>
      <c r="BH11" s="10"/>
      <c r="BI11" s="10"/>
      <c r="BJ11" s="12">
        <v>2</v>
      </c>
      <c r="BK11" s="12">
        <v>0</v>
      </c>
      <c r="BL11" s="12"/>
      <c r="BM11" s="12"/>
      <c r="BN11" s="12"/>
      <c r="BO11" s="10"/>
      <c r="BQ11" s="10"/>
      <c r="BR11" s="10"/>
      <c r="BS11" s="12">
        <v>0</v>
      </c>
      <c r="BT11" s="12">
        <v>1</v>
      </c>
      <c r="BU11" s="12"/>
      <c r="BV11" s="10"/>
      <c r="BX11" s="10"/>
      <c r="BY11" s="10"/>
      <c r="BZ11" s="12">
        <v>3</v>
      </c>
      <c r="CA11" s="12">
        <v>0</v>
      </c>
      <c r="CB11" s="10"/>
      <c r="CC11" s="10"/>
      <c r="CD11" s="10"/>
      <c r="CE11" s="10"/>
      <c r="CF11" s="10"/>
      <c r="CH11" s="10"/>
      <c r="CI11" s="10"/>
      <c r="CJ11" s="12">
        <v>0</v>
      </c>
      <c r="CK11" s="12">
        <v>1</v>
      </c>
      <c r="CL11" s="12"/>
      <c r="CM11" s="10"/>
      <c r="CO11" s="34"/>
      <c r="CP11" s="34"/>
      <c r="CQ11" s="37">
        <v>3</v>
      </c>
      <c r="CR11" s="37">
        <v>0</v>
      </c>
      <c r="CS11" s="37"/>
      <c r="CT11" s="34"/>
    </row>
    <row r="12" spans="1:98">
      <c r="A12" s="10" t="s">
        <v>108</v>
      </c>
      <c r="B12" s="10">
        <v>5</v>
      </c>
      <c r="C12" s="12" t="s">
        <v>38</v>
      </c>
      <c r="D12" s="12" t="s">
        <v>195</v>
      </c>
      <c r="E12" s="12"/>
      <c r="F12" s="10"/>
      <c r="G12" s="10"/>
      <c r="H12" s="10"/>
      <c r="I12" s="10"/>
      <c r="J12" s="10"/>
      <c r="L12" s="10" t="s">
        <v>139</v>
      </c>
      <c r="M12" s="10">
        <v>5</v>
      </c>
      <c r="N12" s="12" t="s">
        <v>543</v>
      </c>
      <c r="O12" s="12" t="s">
        <v>4</v>
      </c>
      <c r="P12" s="12" t="s">
        <v>531</v>
      </c>
      <c r="Q12" s="10"/>
      <c r="R12" s="10"/>
      <c r="S12" s="10"/>
      <c r="U12" s="10" t="s">
        <v>140</v>
      </c>
      <c r="V12" s="10">
        <v>5</v>
      </c>
      <c r="W12" s="12" t="s">
        <v>569</v>
      </c>
      <c r="X12" s="12" t="s">
        <v>14</v>
      </c>
      <c r="Y12" s="12"/>
      <c r="Z12" s="12"/>
      <c r="AA12" s="12"/>
      <c r="AB12" s="10"/>
      <c r="AD12" s="10" t="s">
        <v>139</v>
      </c>
      <c r="AE12" s="10">
        <v>5</v>
      </c>
      <c r="AF12" s="12" t="s">
        <v>557</v>
      </c>
      <c r="AG12" s="12" t="s">
        <v>14</v>
      </c>
      <c r="AH12" s="12"/>
      <c r="AI12" s="10"/>
      <c r="AJ12" s="10"/>
      <c r="AK12" s="10"/>
      <c r="AM12" s="10" t="s">
        <v>607</v>
      </c>
      <c r="AN12" s="10">
        <v>5</v>
      </c>
      <c r="AO12" s="12" t="s">
        <v>568</v>
      </c>
      <c r="AP12" s="12" t="s">
        <v>543</v>
      </c>
      <c r="AQ12" s="12"/>
      <c r="AR12" s="10"/>
      <c r="AT12" s="10" t="s">
        <v>140</v>
      </c>
      <c r="AU12" s="10">
        <v>5</v>
      </c>
      <c r="AV12" s="12" t="s">
        <v>124</v>
      </c>
      <c r="AW12" s="12" t="s">
        <v>52</v>
      </c>
      <c r="AX12" s="12"/>
      <c r="AY12" s="10"/>
      <c r="BA12" s="10" t="s">
        <v>643</v>
      </c>
      <c r="BB12" s="10">
        <v>5</v>
      </c>
      <c r="BC12" s="12" t="s">
        <v>54</v>
      </c>
      <c r="BD12" s="12" t="s">
        <v>40</v>
      </c>
      <c r="BE12" s="12" t="s">
        <v>22</v>
      </c>
      <c r="BF12" s="12" t="s">
        <v>558</v>
      </c>
      <c r="BH12" s="10" t="s">
        <v>233</v>
      </c>
      <c r="BI12" s="10">
        <v>5</v>
      </c>
      <c r="BJ12" s="12" t="s">
        <v>542</v>
      </c>
      <c r="BK12" s="12" t="s">
        <v>150</v>
      </c>
      <c r="BL12" s="12"/>
      <c r="BM12" s="12"/>
      <c r="BN12" s="12"/>
      <c r="BO12" s="10"/>
      <c r="BQ12" s="10" t="s">
        <v>139</v>
      </c>
      <c r="BR12" s="10">
        <v>5</v>
      </c>
      <c r="BS12" s="12" t="s">
        <v>142</v>
      </c>
      <c r="BT12" s="12" t="s">
        <v>49</v>
      </c>
      <c r="BU12" s="12"/>
      <c r="BV12" s="10"/>
      <c r="BX12" s="10" t="s">
        <v>140</v>
      </c>
      <c r="BY12" s="10">
        <v>5</v>
      </c>
      <c r="BZ12" s="12" t="s">
        <v>543</v>
      </c>
      <c r="CA12" s="12" t="s">
        <v>4</v>
      </c>
      <c r="CB12" s="12"/>
      <c r="CC12" s="10"/>
      <c r="CD12" s="10"/>
      <c r="CE12" s="10"/>
      <c r="CF12" s="10"/>
      <c r="CH12" s="10" t="s">
        <v>139</v>
      </c>
      <c r="CI12" s="10">
        <v>5</v>
      </c>
      <c r="CJ12" s="12" t="s">
        <v>579</v>
      </c>
      <c r="CK12" s="12" t="s">
        <v>36</v>
      </c>
      <c r="CL12" s="12"/>
      <c r="CM12" s="10"/>
      <c r="CO12" s="34" t="s">
        <v>306</v>
      </c>
      <c r="CP12" s="34">
        <v>5</v>
      </c>
      <c r="CQ12" s="37" t="s">
        <v>51</v>
      </c>
      <c r="CR12" s="37" t="s">
        <v>142</v>
      </c>
      <c r="CS12" s="37"/>
      <c r="CT12" s="34"/>
    </row>
    <row r="13" spans="1:98">
      <c r="A13" s="10"/>
      <c r="B13" s="10"/>
      <c r="C13" s="12"/>
      <c r="D13" s="12"/>
      <c r="E13" s="12"/>
      <c r="F13" s="10"/>
      <c r="G13" s="10"/>
      <c r="H13" s="10"/>
      <c r="I13" s="10"/>
      <c r="J13" s="10"/>
      <c r="L13" s="10"/>
      <c r="M13" s="10"/>
      <c r="N13" s="12">
        <v>4</v>
      </c>
      <c r="O13" s="12">
        <v>-3</v>
      </c>
      <c r="P13" s="12">
        <v>-1</v>
      </c>
      <c r="Q13" s="10"/>
      <c r="R13" s="10"/>
      <c r="S13" s="10"/>
      <c r="U13" s="10"/>
      <c r="V13" s="10"/>
      <c r="W13" s="12">
        <v>1</v>
      </c>
      <c r="X13" s="12">
        <v>0</v>
      </c>
      <c r="Y13" s="12"/>
      <c r="Z13" s="12"/>
      <c r="AA13" s="12"/>
      <c r="AB13" s="10"/>
      <c r="AD13" s="10"/>
      <c r="AE13" s="10"/>
      <c r="AF13" s="12">
        <v>2</v>
      </c>
      <c r="AG13" s="12">
        <v>-2</v>
      </c>
      <c r="AH13" s="12"/>
      <c r="AI13" s="10"/>
      <c r="AJ13" s="10"/>
      <c r="AK13" s="10"/>
      <c r="AM13" s="123">
        <v>9.0277777777777776E-2</v>
      </c>
      <c r="AN13" s="10"/>
      <c r="AO13" s="12">
        <v>0</v>
      </c>
      <c r="AP13" s="12">
        <v>2</v>
      </c>
      <c r="AQ13" s="12"/>
      <c r="AR13" s="10"/>
      <c r="AT13" s="10"/>
      <c r="AU13" s="10"/>
      <c r="AV13" s="12">
        <v>2</v>
      </c>
      <c r="AW13" s="12">
        <v>0</v>
      </c>
      <c r="AX13" s="12"/>
      <c r="AY13" s="10"/>
      <c r="BA13" s="10"/>
      <c r="BB13" s="10"/>
      <c r="BC13" s="12">
        <v>0</v>
      </c>
      <c r="BD13" s="12">
        <v>0</v>
      </c>
      <c r="BE13" s="12">
        <v>0</v>
      </c>
      <c r="BF13" s="12">
        <v>1</v>
      </c>
      <c r="BH13" s="10" t="s">
        <v>656</v>
      </c>
      <c r="BI13" s="10"/>
      <c r="BJ13" s="12">
        <v>0</v>
      </c>
      <c r="BK13" s="12">
        <v>1</v>
      </c>
      <c r="BL13" s="12"/>
      <c r="BM13" s="12"/>
      <c r="BN13" s="12"/>
      <c r="BO13" s="10"/>
      <c r="BQ13" s="10"/>
      <c r="BR13" s="10"/>
      <c r="BS13" s="12">
        <v>6</v>
      </c>
      <c r="BT13" s="12">
        <v>-6</v>
      </c>
      <c r="BU13" s="12"/>
      <c r="BV13" s="10"/>
      <c r="BX13" s="10"/>
      <c r="BY13" s="10"/>
      <c r="BZ13" s="12">
        <v>3</v>
      </c>
      <c r="CA13" s="12">
        <v>0</v>
      </c>
      <c r="CB13" s="12"/>
      <c r="CC13" s="10"/>
      <c r="CD13" s="10"/>
      <c r="CE13" s="10"/>
      <c r="CF13" s="10"/>
      <c r="CH13" s="10"/>
      <c r="CI13" s="10"/>
      <c r="CJ13" s="12">
        <v>0</v>
      </c>
      <c r="CK13" s="12">
        <v>0</v>
      </c>
      <c r="CL13" s="12"/>
      <c r="CM13" s="10"/>
      <c r="CO13" s="34"/>
      <c r="CP13" s="34"/>
      <c r="CQ13" s="37">
        <v>0</v>
      </c>
      <c r="CR13" s="37">
        <v>1</v>
      </c>
      <c r="CS13" s="37"/>
      <c r="CT13" s="34"/>
    </row>
    <row r="14" spans="1:98">
      <c r="C14" s="6"/>
      <c r="D14" s="6"/>
      <c r="N14" s="6"/>
      <c r="O14" s="6"/>
      <c r="W14" s="6"/>
      <c r="X14" s="6"/>
      <c r="AF14" s="6"/>
      <c r="AG14" s="6"/>
      <c r="AO14" s="6"/>
      <c r="AP14" s="6"/>
      <c r="AV14" s="6"/>
      <c r="AW14" s="6"/>
      <c r="BC14" s="6"/>
      <c r="BD14" s="6"/>
      <c r="BJ14" s="6"/>
      <c r="BK14" s="6"/>
      <c r="BS14" s="6"/>
      <c r="BT14" s="6"/>
      <c r="BZ14" s="6"/>
      <c r="CA14" s="6"/>
      <c r="CJ14" s="6"/>
      <c r="CK14" s="6"/>
      <c r="CO14" s="32"/>
      <c r="CP14" s="32"/>
      <c r="CQ14" s="33"/>
      <c r="CR14" s="33"/>
      <c r="CS14" s="32"/>
      <c r="CT14" s="32"/>
    </row>
    <row r="15" spans="1:98" ht="21">
      <c r="A15" s="7"/>
      <c r="B15" s="8" t="s">
        <v>73</v>
      </c>
      <c r="C15" s="104" t="s">
        <v>452</v>
      </c>
      <c r="D15" s="9"/>
      <c r="E15" s="7"/>
      <c r="F15" s="7"/>
      <c r="G15" s="7"/>
      <c r="H15" s="7"/>
      <c r="I15" s="7"/>
      <c r="J15" s="7"/>
      <c r="L15" s="7"/>
      <c r="M15" s="8" t="s">
        <v>73</v>
      </c>
      <c r="N15" s="104" t="s">
        <v>459</v>
      </c>
      <c r="O15" s="9"/>
      <c r="P15" s="7"/>
      <c r="Q15" s="7"/>
      <c r="R15" s="7"/>
      <c r="S15" s="7"/>
      <c r="U15" s="7"/>
      <c r="V15" s="8" t="s">
        <v>73</v>
      </c>
      <c r="W15" s="104" t="s">
        <v>239</v>
      </c>
      <c r="X15" s="9"/>
      <c r="Y15" s="7"/>
      <c r="Z15" s="7"/>
      <c r="AA15" s="7"/>
      <c r="AB15" s="7"/>
      <c r="AD15" s="7"/>
      <c r="AE15" s="8" t="s">
        <v>73</v>
      </c>
      <c r="AF15" s="104" t="s">
        <v>161</v>
      </c>
      <c r="AG15" s="9"/>
      <c r="AH15" s="7"/>
      <c r="AI15" s="7"/>
      <c r="AJ15" s="7"/>
      <c r="AK15" s="7"/>
      <c r="AM15" s="7"/>
      <c r="AN15" s="8" t="s">
        <v>73</v>
      </c>
      <c r="AO15" s="104" t="s">
        <v>214</v>
      </c>
      <c r="AP15" s="9"/>
      <c r="AQ15" s="7"/>
      <c r="AR15" s="7"/>
      <c r="AT15" s="7"/>
      <c r="AU15" s="8" t="s">
        <v>73</v>
      </c>
      <c r="AV15" s="104" t="s">
        <v>471</v>
      </c>
      <c r="AW15" s="9"/>
      <c r="AX15" s="7"/>
      <c r="AY15" s="7"/>
      <c r="BA15" s="7"/>
      <c r="BB15" s="8" t="s">
        <v>73</v>
      </c>
      <c r="BC15" s="104" t="s">
        <v>480</v>
      </c>
      <c r="BD15" s="9"/>
      <c r="BE15" s="7"/>
      <c r="BF15" s="9"/>
      <c r="BH15" s="7"/>
      <c r="BI15" s="8" t="s">
        <v>73</v>
      </c>
      <c r="BJ15" s="104" t="s">
        <v>488</v>
      </c>
      <c r="BK15" s="9"/>
      <c r="BL15" s="7"/>
      <c r="BM15" s="7"/>
      <c r="BN15" s="7"/>
      <c r="BO15" s="7"/>
      <c r="BQ15" s="7"/>
      <c r="BR15" s="8" t="s">
        <v>73</v>
      </c>
      <c r="BS15" s="28" t="s">
        <v>667</v>
      </c>
      <c r="BT15" s="9"/>
      <c r="BU15" s="7"/>
      <c r="BV15" s="7"/>
      <c r="BX15" s="7"/>
      <c r="BY15" s="8" t="s">
        <v>73</v>
      </c>
      <c r="BZ15" s="104" t="s">
        <v>217</v>
      </c>
      <c r="CA15" s="9"/>
      <c r="CB15" s="7"/>
      <c r="CC15" s="7"/>
      <c r="CD15" s="7"/>
      <c r="CE15" s="7"/>
      <c r="CF15" s="7"/>
      <c r="CH15" s="7"/>
      <c r="CI15" s="8" t="s">
        <v>73</v>
      </c>
      <c r="CJ15" s="104" t="s">
        <v>462</v>
      </c>
      <c r="CK15" s="9"/>
      <c r="CL15" s="7"/>
      <c r="CM15" s="7"/>
      <c r="CO15" s="38"/>
      <c r="CP15" s="39" t="s">
        <v>189</v>
      </c>
      <c r="CQ15" s="83" t="s">
        <v>501</v>
      </c>
      <c r="CR15" s="41"/>
      <c r="CS15" s="38"/>
      <c r="CT15" s="38"/>
    </row>
    <row r="16" spans="1:98">
      <c r="A16" s="7"/>
      <c r="B16" s="7">
        <v>1</v>
      </c>
      <c r="C16" s="9" t="s">
        <v>546</v>
      </c>
      <c r="D16" s="9" t="s">
        <v>13</v>
      </c>
      <c r="E16" s="9"/>
      <c r="F16" s="7"/>
      <c r="G16" s="7"/>
      <c r="H16" s="7"/>
      <c r="I16" s="7"/>
      <c r="J16" s="7"/>
      <c r="L16" s="7"/>
      <c r="M16" s="7">
        <v>1</v>
      </c>
      <c r="N16" s="9" t="s">
        <v>88</v>
      </c>
      <c r="O16" s="9" t="s">
        <v>15</v>
      </c>
      <c r="P16" s="9"/>
      <c r="Q16" s="7"/>
      <c r="R16" s="7"/>
      <c r="S16" s="7"/>
      <c r="U16" s="7"/>
      <c r="V16" s="7">
        <v>1</v>
      </c>
      <c r="W16" s="9" t="s">
        <v>326</v>
      </c>
      <c r="X16" s="9" t="s">
        <v>81</v>
      </c>
      <c r="Y16" s="9"/>
      <c r="Z16" s="9"/>
      <c r="AA16" s="9"/>
      <c r="AB16" s="7"/>
      <c r="AD16" s="7"/>
      <c r="AE16" s="7">
        <v>1</v>
      </c>
      <c r="AF16" s="9" t="s">
        <v>118</v>
      </c>
      <c r="AG16" s="9" t="s">
        <v>326</v>
      </c>
      <c r="AH16" s="9"/>
      <c r="AI16" s="7"/>
      <c r="AJ16" s="7"/>
      <c r="AK16" s="7"/>
      <c r="AM16" s="7"/>
      <c r="AN16" s="7">
        <v>1</v>
      </c>
      <c r="AO16" s="9" t="s">
        <v>112</v>
      </c>
      <c r="AP16" s="9" t="s">
        <v>21</v>
      </c>
      <c r="AQ16" s="9"/>
      <c r="AR16" s="7"/>
      <c r="AT16" s="7"/>
      <c r="AU16" s="7">
        <v>1</v>
      </c>
      <c r="AV16" s="9" t="s">
        <v>569</v>
      </c>
      <c r="AW16" s="9" t="s">
        <v>17</v>
      </c>
      <c r="AX16" s="9"/>
      <c r="AY16" s="7"/>
      <c r="BA16" s="7"/>
      <c r="BB16" s="7">
        <v>1</v>
      </c>
      <c r="BC16" s="9" t="s">
        <v>58</v>
      </c>
      <c r="BD16" s="9" t="s">
        <v>124</v>
      </c>
      <c r="BE16" s="9"/>
      <c r="BF16" s="9"/>
      <c r="BH16" s="7"/>
      <c r="BI16" s="7">
        <v>1</v>
      </c>
      <c r="BJ16" s="9" t="s">
        <v>2</v>
      </c>
      <c r="BK16" s="9" t="s">
        <v>569</v>
      </c>
      <c r="BL16" s="9"/>
      <c r="BM16" s="9"/>
      <c r="BN16" s="9"/>
      <c r="BO16" s="7"/>
      <c r="BQ16" s="7"/>
      <c r="BR16" s="7">
        <v>1</v>
      </c>
      <c r="BS16" s="9" t="s">
        <v>446</v>
      </c>
      <c r="BT16" s="9" t="s">
        <v>546</v>
      </c>
      <c r="BU16" s="9"/>
      <c r="BV16" s="7"/>
      <c r="BX16" s="7"/>
      <c r="BY16" s="7">
        <v>1</v>
      </c>
      <c r="BZ16" s="9" t="s">
        <v>169</v>
      </c>
      <c r="CA16" s="9" t="s">
        <v>41</v>
      </c>
      <c r="CB16" s="9"/>
      <c r="CC16" s="7"/>
      <c r="CD16" s="7"/>
      <c r="CE16" s="7"/>
      <c r="CF16" s="7"/>
      <c r="CH16" s="7"/>
      <c r="CI16" s="7">
        <v>1</v>
      </c>
      <c r="CJ16" s="9" t="s">
        <v>81</v>
      </c>
      <c r="CK16" s="9" t="s">
        <v>531</v>
      </c>
      <c r="CL16" s="9"/>
      <c r="CM16" s="7"/>
      <c r="CO16" s="38"/>
      <c r="CP16" s="38">
        <v>1</v>
      </c>
      <c r="CQ16" s="41" t="s">
        <v>545</v>
      </c>
      <c r="CR16" s="41" t="s">
        <v>1</v>
      </c>
      <c r="CS16" s="41"/>
      <c r="CT16" s="38"/>
    </row>
    <row r="17" spans="1:98">
      <c r="A17" s="7"/>
      <c r="B17" s="7"/>
      <c r="C17" s="9">
        <v>3</v>
      </c>
      <c r="D17" s="9">
        <v>0</v>
      </c>
      <c r="E17" s="9"/>
      <c r="F17" s="7"/>
      <c r="G17" s="7"/>
      <c r="H17" s="7"/>
      <c r="I17" s="7"/>
      <c r="J17" s="7"/>
      <c r="L17" s="7"/>
      <c r="M17" s="7"/>
      <c r="N17" s="9">
        <v>3</v>
      </c>
      <c r="O17" s="9">
        <v>0</v>
      </c>
      <c r="P17" s="9"/>
      <c r="Q17" s="7"/>
      <c r="R17" s="7"/>
      <c r="S17" s="7"/>
      <c r="U17" s="7"/>
      <c r="V17" s="7"/>
      <c r="W17" s="9">
        <v>0</v>
      </c>
      <c r="X17" s="9">
        <v>2</v>
      </c>
      <c r="Y17" s="9"/>
      <c r="Z17" s="9"/>
      <c r="AA17" s="9"/>
      <c r="AB17" s="7"/>
      <c r="AD17" s="7"/>
      <c r="AE17" s="7"/>
      <c r="AF17" s="9">
        <v>2</v>
      </c>
      <c r="AG17" s="9">
        <v>0</v>
      </c>
      <c r="AH17" s="9"/>
      <c r="AI17" s="7"/>
      <c r="AJ17" s="7"/>
      <c r="AK17" s="7"/>
      <c r="AM17" s="7"/>
      <c r="AN17" s="7"/>
      <c r="AO17" s="9">
        <v>1</v>
      </c>
      <c r="AP17" s="9">
        <v>0</v>
      </c>
      <c r="AQ17" s="9"/>
      <c r="AR17" s="7"/>
      <c r="AT17" s="7"/>
      <c r="AU17" s="7"/>
      <c r="AV17" s="9">
        <v>1</v>
      </c>
      <c r="AW17" s="9">
        <v>0</v>
      </c>
      <c r="AX17" s="9"/>
      <c r="AY17" s="7"/>
      <c r="BA17" s="7"/>
      <c r="BB17" s="7"/>
      <c r="BC17" s="9">
        <v>0</v>
      </c>
      <c r="BD17" s="9">
        <v>2</v>
      </c>
      <c r="BE17" s="9"/>
      <c r="BF17" s="9"/>
      <c r="BH17" s="7"/>
      <c r="BI17" s="7"/>
      <c r="BJ17" s="9">
        <v>0</v>
      </c>
      <c r="BK17" s="9">
        <v>1</v>
      </c>
      <c r="BL17" s="9"/>
      <c r="BM17" s="9"/>
      <c r="BN17" s="9"/>
      <c r="BO17" s="7"/>
      <c r="BQ17" s="7"/>
      <c r="BR17" s="7"/>
      <c r="BS17" s="9">
        <v>0</v>
      </c>
      <c r="BT17" s="9">
        <v>2</v>
      </c>
      <c r="BU17" s="9"/>
      <c r="BV17" s="7"/>
      <c r="BX17" s="7"/>
      <c r="BY17" s="7"/>
      <c r="BZ17" s="9">
        <v>1</v>
      </c>
      <c r="CA17" s="9">
        <v>0</v>
      </c>
      <c r="CB17" s="9"/>
      <c r="CC17" s="7"/>
      <c r="CD17" s="7"/>
      <c r="CE17" s="7"/>
      <c r="CF17" s="7"/>
      <c r="CH17" s="7"/>
      <c r="CI17" s="7"/>
      <c r="CJ17" s="9">
        <v>2</v>
      </c>
      <c r="CK17" s="9">
        <v>0</v>
      </c>
      <c r="CL17" s="9"/>
      <c r="CM17" s="7"/>
      <c r="CO17" s="38"/>
      <c r="CP17" s="38"/>
      <c r="CQ17" s="41">
        <v>1</v>
      </c>
      <c r="CR17" s="41">
        <v>0</v>
      </c>
      <c r="CS17" s="41"/>
      <c r="CT17" s="38"/>
    </row>
    <row r="18" spans="1:98">
      <c r="A18" s="7"/>
      <c r="B18" s="7">
        <v>2</v>
      </c>
      <c r="C18" s="9" t="s">
        <v>547</v>
      </c>
      <c r="D18" s="9" t="s">
        <v>82</v>
      </c>
      <c r="E18" s="9"/>
      <c r="F18" s="7"/>
      <c r="G18" s="7"/>
      <c r="H18" s="7"/>
      <c r="I18" s="7"/>
      <c r="J18" s="7"/>
      <c r="L18" s="7"/>
      <c r="M18" s="7">
        <v>2</v>
      </c>
      <c r="N18" s="9" t="s">
        <v>112</v>
      </c>
      <c r="O18" s="9" t="s">
        <v>9</v>
      </c>
      <c r="P18" s="9"/>
      <c r="Q18" s="7"/>
      <c r="R18" s="7"/>
      <c r="S18" s="7"/>
      <c r="U18" s="7"/>
      <c r="V18" s="7">
        <v>2</v>
      </c>
      <c r="W18" s="9" t="s">
        <v>36</v>
      </c>
      <c r="X18" s="9" t="s">
        <v>548</v>
      </c>
      <c r="Y18" s="9"/>
      <c r="Z18" s="9"/>
      <c r="AA18" s="9"/>
      <c r="AB18" s="7"/>
      <c r="AD18" s="7"/>
      <c r="AE18" s="7">
        <v>2</v>
      </c>
      <c r="AF18" s="9" t="s">
        <v>596</v>
      </c>
      <c r="AG18" s="9" t="s">
        <v>62</v>
      </c>
      <c r="AH18" s="9"/>
      <c r="AI18" s="7"/>
      <c r="AJ18" s="7"/>
      <c r="AK18" s="7"/>
      <c r="AM18" s="7"/>
      <c r="AN18" s="7">
        <v>2</v>
      </c>
      <c r="AO18" s="9" t="s">
        <v>143</v>
      </c>
      <c r="AP18" s="9" t="s">
        <v>41</v>
      </c>
      <c r="AQ18" s="9"/>
      <c r="AR18" s="7"/>
      <c r="AT18" s="7"/>
      <c r="AU18" s="7">
        <v>2</v>
      </c>
      <c r="AV18" s="9" t="s">
        <v>1</v>
      </c>
      <c r="AW18" s="9" t="s">
        <v>560</v>
      </c>
      <c r="AX18" s="9"/>
      <c r="AY18" s="7"/>
      <c r="BA18" s="7"/>
      <c r="BB18" s="7">
        <v>2</v>
      </c>
      <c r="BC18" s="9" t="s">
        <v>588</v>
      </c>
      <c r="BD18" s="9" t="s">
        <v>17</v>
      </c>
      <c r="BE18" s="9"/>
      <c r="BF18" s="9"/>
      <c r="BH18" s="7"/>
      <c r="BI18" s="7">
        <v>2</v>
      </c>
      <c r="BJ18" s="9" t="s">
        <v>1</v>
      </c>
      <c r="BK18" s="9" t="s">
        <v>147</v>
      </c>
      <c r="BL18" s="9"/>
      <c r="BM18" s="9"/>
      <c r="BN18" s="9"/>
      <c r="BO18" s="7"/>
      <c r="BQ18" s="7"/>
      <c r="BR18" s="7">
        <v>2</v>
      </c>
      <c r="BS18" s="9" t="s">
        <v>545</v>
      </c>
      <c r="BT18" s="9" t="s">
        <v>1</v>
      </c>
      <c r="BU18" s="9"/>
      <c r="BV18" s="7"/>
      <c r="BX18" s="7"/>
      <c r="BY18" s="7">
        <v>2</v>
      </c>
      <c r="BZ18" s="9" t="s">
        <v>143</v>
      </c>
      <c r="CA18" s="9" t="s">
        <v>39</v>
      </c>
      <c r="CB18" s="9"/>
      <c r="CC18" s="7"/>
      <c r="CD18" s="7"/>
      <c r="CE18" s="7"/>
      <c r="CF18" s="7"/>
      <c r="CH18" s="7"/>
      <c r="CI18" s="7">
        <v>2</v>
      </c>
      <c r="CJ18" s="9" t="s">
        <v>3</v>
      </c>
      <c r="CK18" s="9" t="s">
        <v>545</v>
      </c>
      <c r="CL18" s="9"/>
      <c r="CM18" s="7"/>
      <c r="CO18" s="38"/>
      <c r="CP18" s="38">
        <v>2</v>
      </c>
      <c r="CQ18" s="41" t="s">
        <v>567</v>
      </c>
      <c r="CR18" s="41" t="s">
        <v>16</v>
      </c>
      <c r="CS18" s="41"/>
      <c r="CT18" s="38"/>
    </row>
    <row r="19" spans="1:98">
      <c r="A19" s="7"/>
      <c r="B19" s="7"/>
      <c r="C19" s="9">
        <v>2</v>
      </c>
      <c r="D19" s="9">
        <v>0</v>
      </c>
      <c r="E19" s="9"/>
      <c r="F19" s="7"/>
      <c r="G19" s="7"/>
      <c r="H19" s="7"/>
      <c r="I19" s="7"/>
      <c r="J19" s="7"/>
      <c r="L19" s="7"/>
      <c r="M19" s="7"/>
      <c r="N19" s="9">
        <v>1</v>
      </c>
      <c r="O19" s="9">
        <v>0</v>
      </c>
      <c r="P19" s="9"/>
      <c r="Q19" s="7"/>
      <c r="R19" s="7"/>
      <c r="S19" s="7"/>
      <c r="U19" s="7"/>
      <c r="V19" s="7"/>
      <c r="W19" s="9">
        <v>0</v>
      </c>
      <c r="X19" s="9">
        <v>2</v>
      </c>
      <c r="Y19" s="9"/>
      <c r="Z19" s="9"/>
      <c r="AA19" s="9"/>
      <c r="AB19" s="7"/>
      <c r="AD19" s="7"/>
      <c r="AE19" s="7"/>
      <c r="AF19" s="9">
        <v>2</v>
      </c>
      <c r="AG19" s="9">
        <v>0</v>
      </c>
      <c r="AH19" s="9"/>
      <c r="AI19" s="7"/>
      <c r="AJ19" s="7"/>
      <c r="AK19" s="7"/>
      <c r="AM19" s="7"/>
      <c r="AN19" s="7"/>
      <c r="AO19" s="9">
        <v>2</v>
      </c>
      <c r="AP19" s="9">
        <v>0</v>
      </c>
      <c r="AQ19" s="9"/>
      <c r="AR19" s="7"/>
      <c r="AT19" s="7"/>
      <c r="AU19" s="7"/>
      <c r="AV19" s="9">
        <v>0</v>
      </c>
      <c r="AW19" s="9">
        <v>2</v>
      </c>
      <c r="AX19" s="9"/>
      <c r="AY19" s="7"/>
      <c r="BA19" s="7"/>
      <c r="BB19" s="7"/>
      <c r="BC19" s="9">
        <v>2</v>
      </c>
      <c r="BD19" s="9">
        <v>0</v>
      </c>
      <c r="BE19" s="9"/>
      <c r="BF19" s="9"/>
      <c r="BH19" s="7"/>
      <c r="BI19" s="7"/>
      <c r="BJ19" s="9">
        <v>0</v>
      </c>
      <c r="BK19" s="9">
        <v>2</v>
      </c>
      <c r="BL19" s="9"/>
      <c r="BM19" s="9"/>
      <c r="BN19" s="9"/>
      <c r="BO19" s="7"/>
      <c r="BQ19" s="7"/>
      <c r="BR19" s="7"/>
      <c r="BS19" s="9">
        <v>2</v>
      </c>
      <c r="BT19" s="9">
        <v>0</v>
      </c>
      <c r="BU19" s="9"/>
      <c r="BV19" s="7"/>
      <c r="BX19" s="7"/>
      <c r="BY19" s="7"/>
      <c r="BZ19" s="9">
        <v>2</v>
      </c>
      <c r="CA19" s="9">
        <v>0</v>
      </c>
      <c r="CB19" s="9"/>
      <c r="CC19" s="7"/>
      <c r="CD19" s="7"/>
      <c r="CE19" s="7"/>
      <c r="CF19" s="7"/>
      <c r="CH19" s="7"/>
      <c r="CI19" s="7"/>
      <c r="CJ19" s="9">
        <v>0</v>
      </c>
      <c r="CK19" s="9">
        <v>1</v>
      </c>
      <c r="CL19" s="9"/>
      <c r="CM19" s="7"/>
      <c r="CO19" s="38"/>
      <c r="CP19" s="38"/>
      <c r="CQ19" s="41">
        <v>1</v>
      </c>
      <c r="CR19" s="41">
        <v>0</v>
      </c>
      <c r="CS19" s="41"/>
      <c r="CT19" s="38"/>
    </row>
    <row r="20" spans="1:98">
      <c r="A20" s="7"/>
      <c r="B20" s="7">
        <v>3</v>
      </c>
      <c r="C20" s="9" t="s">
        <v>548</v>
      </c>
      <c r="D20" s="9" t="s">
        <v>9</v>
      </c>
      <c r="E20" s="7"/>
      <c r="F20" s="7"/>
      <c r="G20" s="7"/>
      <c r="H20" s="7"/>
      <c r="I20" s="7"/>
      <c r="J20" s="7"/>
      <c r="L20" s="7" t="s">
        <v>572</v>
      </c>
      <c r="M20" s="7">
        <v>3</v>
      </c>
      <c r="N20" s="9" t="s">
        <v>21</v>
      </c>
      <c r="O20" s="9" t="s">
        <v>546</v>
      </c>
      <c r="P20" s="7"/>
      <c r="Q20" s="7"/>
      <c r="R20" s="7"/>
      <c r="S20" s="7"/>
      <c r="U20" s="7"/>
      <c r="V20" s="7">
        <v>3</v>
      </c>
      <c r="W20" s="9" t="s">
        <v>147</v>
      </c>
      <c r="X20" s="9" t="s">
        <v>58</v>
      </c>
      <c r="Y20" s="7"/>
      <c r="Z20" s="7"/>
      <c r="AA20" s="7"/>
      <c r="AB20" s="7"/>
      <c r="AD20" s="7" t="s">
        <v>220</v>
      </c>
      <c r="AE20" s="7">
        <v>3</v>
      </c>
      <c r="AF20" s="9" t="s">
        <v>9</v>
      </c>
      <c r="AG20" s="9" t="s">
        <v>88</v>
      </c>
      <c r="AH20" s="7"/>
      <c r="AI20" s="7"/>
      <c r="AJ20" s="7"/>
      <c r="AK20" s="7"/>
      <c r="AM20" s="7"/>
      <c r="AN20" s="7">
        <v>3</v>
      </c>
      <c r="AO20" s="9" t="s">
        <v>88</v>
      </c>
      <c r="AP20" s="9" t="s">
        <v>17</v>
      </c>
      <c r="AQ20" s="7"/>
      <c r="AR20" s="7"/>
      <c r="AT20" s="7"/>
      <c r="AU20" s="7">
        <v>3</v>
      </c>
      <c r="AV20" s="9" t="s">
        <v>567</v>
      </c>
      <c r="AW20" s="9" t="s">
        <v>62</v>
      </c>
      <c r="AX20" s="7"/>
      <c r="AY20" s="7"/>
      <c r="BA20" s="7"/>
      <c r="BB20" s="7">
        <v>3</v>
      </c>
      <c r="BC20" s="9" t="s">
        <v>549</v>
      </c>
      <c r="BD20" s="9" t="s">
        <v>531</v>
      </c>
      <c r="BE20" s="7"/>
      <c r="BF20" s="9"/>
      <c r="BH20" s="7"/>
      <c r="BI20" s="7">
        <v>3</v>
      </c>
      <c r="BJ20" s="9" t="s">
        <v>55</v>
      </c>
      <c r="BK20" s="9" t="s">
        <v>124</v>
      </c>
      <c r="BL20" s="7"/>
      <c r="BM20" s="7"/>
      <c r="BN20" s="7"/>
      <c r="BO20" s="7"/>
      <c r="BQ20" s="7"/>
      <c r="BR20" s="7">
        <v>3</v>
      </c>
      <c r="BS20" s="9" t="s">
        <v>549</v>
      </c>
      <c r="BT20" s="9" t="s">
        <v>55</v>
      </c>
      <c r="BU20" s="7"/>
      <c r="BV20" s="7"/>
      <c r="BX20" s="7"/>
      <c r="BY20" s="7">
        <v>3</v>
      </c>
      <c r="BZ20" s="9" t="s">
        <v>567</v>
      </c>
      <c r="CA20" s="9" t="s">
        <v>16</v>
      </c>
      <c r="CB20" s="7"/>
      <c r="CC20" s="7"/>
      <c r="CD20" s="7"/>
      <c r="CE20" s="7"/>
      <c r="CF20" s="7"/>
      <c r="CH20" s="7"/>
      <c r="CI20" s="7">
        <v>3</v>
      </c>
      <c r="CJ20" s="9" t="s">
        <v>96</v>
      </c>
      <c r="CK20" s="9" t="s">
        <v>326</v>
      </c>
      <c r="CL20" s="7"/>
      <c r="CM20" s="7"/>
      <c r="CO20" s="38"/>
      <c r="CP20" s="38">
        <v>3</v>
      </c>
      <c r="CQ20" s="41" t="s">
        <v>81</v>
      </c>
      <c r="CR20" s="41" t="s">
        <v>55</v>
      </c>
      <c r="CS20" s="38"/>
      <c r="CT20" s="38"/>
    </row>
    <row r="21" spans="1:98">
      <c r="A21" s="7"/>
      <c r="B21" s="7"/>
      <c r="C21" s="9">
        <v>1</v>
      </c>
      <c r="D21" s="9">
        <v>0</v>
      </c>
      <c r="E21" s="9"/>
      <c r="F21" s="7"/>
      <c r="G21" s="7"/>
      <c r="H21" s="7"/>
      <c r="I21" s="7"/>
      <c r="J21" s="7"/>
      <c r="L21" s="7"/>
      <c r="M21" s="7"/>
      <c r="N21" s="9">
        <v>0</v>
      </c>
      <c r="O21" s="9">
        <v>1</v>
      </c>
      <c r="P21" s="9"/>
      <c r="Q21" s="7"/>
      <c r="R21" s="7"/>
      <c r="S21" s="7"/>
      <c r="U21" s="7"/>
      <c r="V21" s="7"/>
      <c r="W21" s="9">
        <v>2</v>
      </c>
      <c r="X21" s="9">
        <v>0</v>
      </c>
      <c r="Y21" s="9"/>
      <c r="Z21" s="9"/>
      <c r="AA21" s="9"/>
      <c r="AB21" s="7"/>
      <c r="AD21" s="7"/>
      <c r="AE21" s="7"/>
      <c r="AF21" s="9">
        <v>0</v>
      </c>
      <c r="AG21" s="9">
        <v>2</v>
      </c>
      <c r="AH21" s="9"/>
      <c r="AI21" s="7"/>
      <c r="AJ21" s="7"/>
      <c r="AK21" s="7"/>
      <c r="AM21" s="7"/>
      <c r="AN21" s="7"/>
      <c r="AO21" s="9">
        <v>2</v>
      </c>
      <c r="AP21" s="9">
        <v>0</v>
      </c>
      <c r="AQ21" s="9"/>
      <c r="AR21" s="7"/>
      <c r="AT21" s="7"/>
      <c r="AU21" s="7"/>
      <c r="AV21" s="9">
        <v>1</v>
      </c>
      <c r="AW21" s="9">
        <v>0</v>
      </c>
      <c r="AX21" s="9"/>
      <c r="AY21" s="7"/>
      <c r="BA21" s="7"/>
      <c r="BB21" s="7"/>
      <c r="BC21" s="9">
        <v>2</v>
      </c>
      <c r="BD21" s="9">
        <v>0</v>
      </c>
      <c r="BE21" s="9"/>
      <c r="BF21" s="9"/>
      <c r="BH21" s="7"/>
      <c r="BI21" s="7"/>
      <c r="BJ21" s="9">
        <v>0</v>
      </c>
      <c r="BK21" s="9">
        <v>3</v>
      </c>
      <c r="BL21" s="9"/>
      <c r="BM21" s="9"/>
      <c r="BN21" s="9"/>
      <c r="BO21" s="7"/>
      <c r="BQ21" s="7"/>
      <c r="BR21" s="7"/>
      <c r="BS21" s="9">
        <v>3</v>
      </c>
      <c r="BT21" s="9">
        <v>0</v>
      </c>
      <c r="BU21" s="9"/>
      <c r="BV21" s="7"/>
      <c r="BX21" s="7"/>
      <c r="BY21" s="7"/>
      <c r="BZ21" s="9">
        <v>1</v>
      </c>
      <c r="CA21" s="9">
        <v>0</v>
      </c>
      <c r="CB21" s="9"/>
      <c r="CC21" s="7"/>
      <c r="CD21" s="7"/>
      <c r="CE21" s="7"/>
      <c r="CF21" s="7"/>
      <c r="CH21" s="7"/>
      <c r="CI21" s="7"/>
      <c r="CJ21" s="9">
        <v>2</v>
      </c>
      <c r="CK21" s="9">
        <v>0</v>
      </c>
      <c r="CL21" s="9"/>
      <c r="CM21" s="7"/>
      <c r="CO21" s="38"/>
      <c r="CP21" s="38"/>
      <c r="CQ21" s="41">
        <v>1</v>
      </c>
      <c r="CR21" s="41">
        <v>0</v>
      </c>
      <c r="CS21" s="41"/>
      <c r="CT21" s="38"/>
    </row>
    <row r="22" spans="1:98">
      <c r="A22" s="7"/>
      <c r="B22" s="7">
        <v>4</v>
      </c>
      <c r="C22" s="9" t="s">
        <v>532</v>
      </c>
      <c r="D22" s="9" t="s">
        <v>143</v>
      </c>
      <c r="E22" s="9"/>
      <c r="F22" s="7"/>
      <c r="G22" s="7"/>
      <c r="H22" s="7"/>
      <c r="I22" s="7"/>
      <c r="J22" s="7"/>
      <c r="L22" s="7"/>
      <c r="M22" s="7">
        <v>4</v>
      </c>
      <c r="N22" s="9" t="s">
        <v>58</v>
      </c>
      <c r="O22" s="9" t="s">
        <v>142</v>
      </c>
      <c r="P22" s="9"/>
      <c r="Q22" s="7"/>
      <c r="R22" s="7"/>
      <c r="S22" s="7"/>
      <c r="U22" s="7"/>
      <c r="V22" s="7">
        <v>4</v>
      </c>
      <c r="W22" s="9" t="s">
        <v>112</v>
      </c>
      <c r="X22" s="9" t="s">
        <v>17</v>
      </c>
      <c r="Y22" s="9"/>
      <c r="Z22" s="9"/>
      <c r="AA22" s="9"/>
      <c r="AB22" s="7"/>
      <c r="AD22" s="7" t="s">
        <v>220</v>
      </c>
      <c r="AE22" s="7">
        <v>4</v>
      </c>
      <c r="AF22" s="9" t="s">
        <v>549</v>
      </c>
      <c r="AG22" s="9" t="s">
        <v>58</v>
      </c>
      <c r="AH22" s="9"/>
      <c r="AI22" s="7"/>
      <c r="AJ22" s="7"/>
      <c r="AK22" s="7"/>
      <c r="AM22" s="7"/>
      <c r="AN22" s="7">
        <v>4</v>
      </c>
      <c r="AO22" s="9" t="s">
        <v>138</v>
      </c>
      <c r="AP22" s="9" t="s">
        <v>36</v>
      </c>
      <c r="AQ22" s="9"/>
      <c r="AR22" s="7"/>
      <c r="AT22" s="7"/>
      <c r="AU22" s="7">
        <v>4</v>
      </c>
      <c r="AV22" s="9" t="s">
        <v>75</v>
      </c>
      <c r="AW22" s="9" t="s">
        <v>47</v>
      </c>
      <c r="AX22" s="9"/>
      <c r="AY22" s="7"/>
      <c r="BA22" s="7" t="s">
        <v>642</v>
      </c>
      <c r="BB22" s="7">
        <v>4</v>
      </c>
      <c r="BC22" s="9" t="s">
        <v>15</v>
      </c>
      <c r="BD22" s="9" t="s">
        <v>10</v>
      </c>
      <c r="BE22" s="9" t="s">
        <v>203</v>
      </c>
      <c r="BF22" s="9" t="s">
        <v>1</v>
      </c>
      <c r="BH22" s="7" t="s">
        <v>310</v>
      </c>
      <c r="BI22" s="7">
        <v>4</v>
      </c>
      <c r="BJ22" s="9" t="s">
        <v>531</v>
      </c>
      <c r="BK22" s="9" t="s">
        <v>567</v>
      </c>
      <c r="BL22" s="9"/>
      <c r="BM22" s="9"/>
      <c r="BN22" s="9"/>
      <c r="BO22" s="7"/>
      <c r="BQ22" s="7"/>
      <c r="BR22" s="7">
        <v>4</v>
      </c>
      <c r="BS22" s="9" t="s">
        <v>143</v>
      </c>
      <c r="BT22" s="9" t="s">
        <v>16</v>
      </c>
      <c r="BU22" s="9"/>
      <c r="BV22" s="7"/>
      <c r="BX22" s="7"/>
      <c r="BY22" s="7">
        <v>4</v>
      </c>
      <c r="BZ22" s="9" t="s">
        <v>112</v>
      </c>
      <c r="CA22" s="9" t="s">
        <v>37</v>
      </c>
      <c r="CB22" s="9"/>
      <c r="CC22" s="7"/>
      <c r="CD22" s="7"/>
      <c r="CE22" s="7"/>
      <c r="CF22" s="7"/>
      <c r="CH22" s="7"/>
      <c r="CI22" s="7">
        <v>4</v>
      </c>
      <c r="CJ22" s="9" t="s">
        <v>678</v>
      </c>
      <c r="CK22" s="9" t="s">
        <v>41</v>
      </c>
      <c r="CL22" s="9"/>
      <c r="CM22" s="7"/>
      <c r="CO22" s="38"/>
      <c r="CP22" s="38">
        <v>4</v>
      </c>
      <c r="CQ22" s="41" t="s">
        <v>3</v>
      </c>
      <c r="CR22" s="41" t="s">
        <v>75</v>
      </c>
      <c r="CS22" s="41"/>
      <c r="CT22" s="38"/>
    </row>
    <row r="23" spans="1:98">
      <c r="A23" s="7"/>
      <c r="B23" s="7"/>
      <c r="C23" s="9">
        <v>0</v>
      </c>
      <c r="D23" s="9">
        <v>3</v>
      </c>
      <c r="E23" s="9"/>
      <c r="F23" s="7"/>
      <c r="G23" s="7"/>
      <c r="H23" s="7"/>
      <c r="I23" s="7"/>
      <c r="J23" s="7"/>
      <c r="L23" s="7"/>
      <c r="M23" s="7"/>
      <c r="N23" s="9">
        <v>0</v>
      </c>
      <c r="O23" s="9">
        <v>2</v>
      </c>
      <c r="P23" s="9"/>
      <c r="Q23" s="7"/>
      <c r="R23" s="7"/>
      <c r="S23" s="7"/>
      <c r="U23" s="7"/>
      <c r="V23" s="7"/>
      <c r="W23" s="9">
        <v>2</v>
      </c>
      <c r="X23" s="9">
        <v>0</v>
      </c>
      <c r="Y23" s="9"/>
      <c r="Z23" s="9"/>
      <c r="AA23" s="9"/>
      <c r="AB23" s="7"/>
      <c r="AD23" s="7"/>
      <c r="AE23" s="7"/>
      <c r="AF23" s="9">
        <v>3</v>
      </c>
      <c r="AG23" s="9">
        <v>0</v>
      </c>
      <c r="AH23" s="9"/>
      <c r="AI23" s="7"/>
      <c r="AJ23" s="7"/>
      <c r="AK23" s="7"/>
      <c r="AM23" s="7"/>
      <c r="AN23" s="7"/>
      <c r="AO23" s="9">
        <v>3</v>
      </c>
      <c r="AP23" s="9">
        <v>0</v>
      </c>
      <c r="AQ23" s="9"/>
      <c r="AR23" s="7"/>
      <c r="AT23" s="7"/>
      <c r="AU23" s="7"/>
      <c r="AV23" s="9">
        <v>2</v>
      </c>
      <c r="AW23" s="9">
        <v>0</v>
      </c>
      <c r="AX23" s="9"/>
      <c r="AY23" s="7"/>
      <c r="BA23" s="7"/>
      <c r="BB23" s="7"/>
      <c r="BC23" s="9">
        <v>0</v>
      </c>
      <c r="BD23" s="9">
        <v>0</v>
      </c>
      <c r="BE23" s="9">
        <v>1</v>
      </c>
      <c r="BF23" s="9">
        <v>0</v>
      </c>
      <c r="BH23" s="7" t="s">
        <v>266</v>
      </c>
      <c r="BI23" s="7"/>
      <c r="BJ23" s="9">
        <v>0</v>
      </c>
      <c r="BK23" s="9">
        <v>1</v>
      </c>
      <c r="BL23" s="9"/>
      <c r="BM23" s="9"/>
      <c r="BN23" s="9"/>
      <c r="BO23" s="7"/>
      <c r="BQ23" s="7"/>
      <c r="BR23" s="7"/>
      <c r="BS23" s="9">
        <v>1</v>
      </c>
      <c r="BT23" s="9">
        <v>0</v>
      </c>
      <c r="BU23" s="9"/>
      <c r="BV23" s="7"/>
      <c r="BX23" s="7"/>
      <c r="BY23" s="7"/>
      <c r="BZ23" s="9">
        <v>3</v>
      </c>
      <c r="CA23" s="9">
        <v>0</v>
      </c>
      <c r="CB23" s="9"/>
      <c r="CC23" s="7"/>
      <c r="CD23" s="7"/>
      <c r="CE23" s="7"/>
      <c r="CF23" s="7"/>
      <c r="CH23" s="7"/>
      <c r="CI23" s="7"/>
      <c r="CJ23" s="9">
        <v>2</v>
      </c>
      <c r="CK23" s="9">
        <v>0</v>
      </c>
      <c r="CL23" s="9"/>
      <c r="CM23" s="7"/>
      <c r="CO23" s="38"/>
      <c r="CP23" s="38"/>
      <c r="CQ23" s="41">
        <v>0</v>
      </c>
      <c r="CR23" s="41">
        <v>1</v>
      </c>
      <c r="CS23" s="41"/>
      <c r="CT23" s="38"/>
    </row>
    <row r="24" spans="1:98">
      <c r="A24" s="7" t="s">
        <v>108</v>
      </c>
      <c r="B24" s="7">
        <v>5</v>
      </c>
      <c r="C24" s="9" t="s">
        <v>549</v>
      </c>
      <c r="D24" s="9" t="s">
        <v>84</v>
      </c>
      <c r="E24" s="9"/>
      <c r="F24" s="7"/>
      <c r="G24" s="7"/>
      <c r="H24" s="7"/>
      <c r="I24" s="7"/>
      <c r="J24" s="7"/>
      <c r="L24" s="7" t="s">
        <v>223</v>
      </c>
      <c r="M24" s="7">
        <v>5</v>
      </c>
      <c r="N24" s="9" t="s">
        <v>63</v>
      </c>
      <c r="O24" s="9" t="s">
        <v>143</v>
      </c>
      <c r="P24" s="9"/>
      <c r="Q24" s="7"/>
      <c r="R24" s="7"/>
      <c r="S24" s="7"/>
      <c r="U24" s="7" t="s">
        <v>829</v>
      </c>
      <c r="V24" s="7">
        <v>5</v>
      </c>
      <c r="W24" s="9" t="s">
        <v>50</v>
      </c>
      <c r="X24" s="9" t="s">
        <v>143</v>
      </c>
      <c r="Y24" s="9"/>
      <c r="Z24" s="9"/>
      <c r="AA24" s="9"/>
      <c r="AB24" s="7"/>
      <c r="AD24" s="7" t="s">
        <v>157</v>
      </c>
      <c r="AE24" s="7">
        <v>5</v>
      </c>
      <c r="AF24" s="9" t="s">
        <v>588</v>
      </c>
      <c r="AG24" s="9" t="s">
        <v>36</v>
      </c>
      <c r="AH24" s="9" t="s">
        <v>290</v>
      </c>
      <c r="AI24" s="7"/>
      <c r="AJ24" s="7"/>
      <c r="AK24" s="7"/>
      <c r="AM24" s="7" t="s">
        <v>223</v>
      </c>
      <c r="AN24" s="7">
        <v>5</v>
      </c>
      <c r="AO24" s="9" t="s">
        <v>55</v>
      </c>
      <c r="AP24" s="9" t="s">
        <v>549</v>
      </c>
      <c r="AQ24" s="9" t="s">
        <v>47</v>
      </c>
      <c r="AR24" s="7"/>
      <c r="AT24" s="7" t="s">
        <v>223</v>
      </c>
      <c r="AU24" s="7">
        <v>5</v>
      </c>
      <c r="AV24" s="9" t="s">
        <v>67</v>
      </c>
      <c r="AW24" s="9" t="s">
        <v>547</v>
      </c>
      <c r="AX24" s="9"/>
      <c r="AY24" s="7"/>
      <c r="BA24" s="7" t="s">
        <v>643</v>
      </c>
      <c r="BB24" s="7">
        <v>5</v>
      </c>
      <c r="BC24" s="9" t="s">
        <v>326</v>
      </c>
      <c r="BD24" s="9" t="s">
        <v>545</v>
      </c>
      <c r="BE24" s="9" t="s">
        <v>41</v>
      </c>
      <c r="BF24" s="9"/>
      <c r="BH24" s="7" t="s">
        <v>309</v>
      </c>
      <c r="BI24" s="7">
        <v>5</v>
      </c>
      <c r="BJ24" s="9" t="s">
        <v>547</v>
      </c>
      <c r="BK24" s="9" t="s">
        <v>17</v>
      </c>
      <c r="BL24" s="9"/>
      <c r="BM24" s="9"/>
      <c r="BN24" s="9"/>
      <c r="BO24" s="7"/>
      <c r="BQ24" s="7" t="s">
        <v>223</v>
      </c>
      <c r="BR24" s="7">
        <v>5</v>
      </c>
      <c r="BS24" s="9" t="s">
        <v>64</v>
      </c>
      <c r="BT24" s="9" t="s">
        <v>547</v>
      </c>
      <c r="BU24" s="9" t="s">
        <v>37</v>
      </c>
      <c r="BV24" s="7"/>
      <c r="BX24" s="7" t="s">
        <v>157</v>
      </c>
      <c r="BY24" s="7">
        <v>5</v>
      </c>
      <c r="BZ24" s="9" t="s">
        <v>118</v>
      </c>
      <c r="CA24" s="9" t="s">
        <v>50</v>
      </c>
      <c r="CB24" s="9"/>
      <c r="CC24" s="7"/>
      <c r="CD24" s="7"/>
      <c r="CE24" s="7"/>
      <c r="CF24" s="7"/>
      <c r="CH24" s="7" t="s">
        <v>223</v>
      </c>
      <c r="CI24" s="7">
        <v>5</v>
      </c>
      <c r="CJ24" s="9" t="s">
        <v>118</v>
      </c>
      <c r="CK24" s="9" t="s">
        <v>16</v>
      </c>
      <c r="CL24" s="9"/>
      <c r="CM24" s="7"/>
      <c r="CO24" s="38" t="s">
        <v>309</v>
      </c>
      <c r="CP24" s="38">
        <v>5</v>
      </c>
      <c r="CQ24" s="41" t="s">
        <v>77</v>
      </c>
      <c r="CR24" s="41" t="s">
        <v>143</v>
      </c>
      <c r="CS24" s="41"/>
      <c r="CT24" s="38"/>
    </row>
    <row r="25" spans="1:98">
      <c r="A25" s="7"/>
      <c r="B25" s="7"/>
      <c r="C25" s="9">
        <v>1</v>
      </c>
      <c r="D25" s="9">
        <v>0</v>
      </c>
      <c r="E25" s="9"/>
      <c r="F25" s="7"/>
      <c r="G25" s="7"/>
      <c r="H25" s="7"/>
      <c r="I25" s="7"/>
      <c r="J25" s="7"/>
      <c r="L25" s="7"/>
      <c r="M25" s="7"/>
      <c r="N25" s="9">
        <v>0</v>
      </c>
      <c r="O25" s="9">
        <v>1</v>
      </c>
      <c r="P25" s="9"/>
      <c r="Q25" s="7"/>
      <c r="R25" s="7"/>
      <c r="S25" s="7"/>
      <c r="U25" s="7"/>
      <c r="V25" s="7"/>
      <c r="W25" s="9">
        <v>0</v>
      </c>
      <c r="X25" s="9">
        <v>2</v>
      </c>
      <c r="Y25" s="9"/>
      <c r="Z25" s="9"/>
      <c r="AA25" s="9"/>
      <c r="AB25" s="7"/>
      <c r="AD25" s="7"/>
      <c r="AE25" s="7"/>
      <c r="AF25" s="9">
        <v>2</v>
      </c>
      <c r="AG25" s="9">
        <v>0</v>
      </c>
      <c r="AH25" s="9">
        <v>0</v>
      </c>
      <c r="AI25" s="7"/>
      <c r="AJ25" s="7"/>
      <c r="AK25" s="7"/>
      <c r="AM25" s="7"/>
      <c r="AN25" s="7"/>
      <c r="AO25" s="9">
        <v>0</v>
      </c>
      <c r="AP25" s="9">
        <v>1</v>
      </c>
      <c r="AQ25" s="9">
        <v>0</v>
      </c>
      <c r="AR25" s="7"/>
      <c r="AT25" s="7"/>
      <c r="AU25" s="7"/>
      <c r="AV25" s="9">
        <v>0</v>
      </c>
      <c r="AW25" s="9">
        <v>1</v>
      </c>
      <c r="AX25" s="9"/>
      <c r="AY25" s="7"/>
      <c r="BA25" s="7"/>
      <c r="BB25" s="7"/>
      <c r="BC25" s="9">
        <v>0</v>
      </c>
      <c r="BD25" s="9">
        <v>1</v>
      </c>
      <c r="BE25" s="9">
        <v>0</v>
      </c>
      <c r="BF25" s="9"/>
      <c r="BH25" s="7"/>
      <c r="BI25" s="7"/>
      <c r="BJ25" s="9">
        <v>1</v>
      </c>
      <c r="BK25" s="9">
        <v>0</v>
      </c>
      <c r="BL25" s="9"/>
      <c r="BM25" s="9"/>
      <c r="BN25" s="9"/>
      <c r="BO25" s="7"/>
      <c r="BQ25" s="7"/>
      <c r="BR25" s="7"/>
      <c r="BS25" s="9">
        <v>0</v>
      </c>
      <c r="BT25" s="9">
        <v>1</v>
      </c>
      <c r="BU25" s="9">
        <v>0</v>
      </c>
      <c r="BV25" s="7"/>
      <c r="BX25" s="7"/>
      <c r="BY25" s="7"/>
      <c r="BZ25" s="9">
        <v>2</v>
      </c>
      <c r="CA25" s="9">
        <v>0</v>
      </c>
      <c r="CB25" s="9"/>
      <c r="CC25" s="7"/>
      <c r="CD25" s="7"/>
      <c r="CE25" s="7"/>
      <c r="CF25" s="7"/>
      <c r="CH25" s="7"/>
      <c r="CI25" s="7"/>
      <c r="CJ25" s="9">
        <v>2</v>
      </c>
      <c r="CK25" s="9">
        <v>0</v>
      </c>
      <c r="CL25" s="9"/>
      <c r="CM25" s="7"/>
      <c r="CO25" s="38"/>
      <c r="CP25" s="38"/>
      <c r="CQ25" s="41">
        <v>0</v>
      </c>
      <c r="CR25" s="41">
        <v>2</v>
      </c>
      <c r="CS25" s="41"/>
      <c r="CT25" s="38"/>
    </row>
    <row r="26" spans="1:98">
      <c r="CO26" s="32"/>
      <c r="CP26" s="32"/>
      <c r="CQ26" s="32"/>
      <c r="CR26" s="32"/>
      <c r="CS26" s="32"/>
      <c r="CT26" s="32"/>
    </row>
    <row r="27" spans="1:98" ht="21">
      <c r="A27" s="90"/>
      <c r="B27" s="91" t="s">
        <v>429</v>
      </c>
      <c r="C27" s="105" t="s">
        <v>453</v>
      </c>
      <c r="D27" s="92"/>
      <c r="E27" s="90"/>
      <c r="F27" s="90"/>
      <c r="G27" s="90"/>
      <c r="H27" s="90"/>
      <c r="I27" s="90"/>
      <c r="J27" s="90"/>
      <c r="L27" s="90"/>
      <c r="M27" s="91" t="s">
        <v>429</v>
      </c>
      <c r="N27" s="105" t="s">
        <v>237</v>
      </c>
      <c r="O27" s="92"/>
      <c r="P27" s="90"/>
      <c r="Q27" s="90"/>
      <c r="R27" s="90"/>
      <c r="S27" s="90"/>
      <c r="U27" s="90"/>
      <c r="V27" s="91" t="s">
        <v>429</v>
      </c>
      <c r="W27" s="105" t="s">
        <v>464</v>
      </c>
      <c r="X27" s="92"/>
      <c r="Y27" s="90"/>
      <c r="Z27" s="90"/>
      <c r="AA27" s="90"/>
      <c r="AB27" s="90"/>
      <c r="AD27" s="90"/>
      <c r="AE27" s="91" t="s">
        <v>429</v>
      </c>
      <c r="AF27" s="105" t="s">
        <v>164</v>
      </c>
      <c r="AG27" s="92"/>
      <c r="AH27" s="90"/>
      <c r="AI27" s="90"/>
      <c r="AJ27" s="90"/>
      <c r="AK27" s="90"/>
      <c r="AM27" s="90"/>
      <c r="AN27" s="91" t="s">
        <v>429</v>
      </c>
      <c r="AO27" s="105" t="s">
        <v>230</v>
      </c>
      <c r="AP27" s="92"/>
      <c r="AQ27" s="90"/>
      <c r="AR27" s="90"/>
      <c r="AT27" s="90"/>
      <c r="AU27" s="91" t="s">
        <v>429</v>
      </c>
      <c r="AV27" s="105" t="s">
        <v>472</v>
      </c>
      <c r="AW27" s="92"/>
      <c r="AX27" s="90"/>
      <c r="AY27" s="90"/>
      <c r="BA27" s="90"/>
      <c r="BB27" s="91" t="s">
        <v>429</v>
      </c>
      <c r="BC27" s="105" t="s">
        <v>481</v>
      </c>
      <c r="BD27" s="92"/>
      <c r="BE27" s="90"/>
      <c r="BF27" s="92"/>
      <c r="BH27" s="90"/>
      <c r="BI27" s="91" t="s">
        <v>429</v>
      </c>
      <c r="BJ27" s="128" t="s">
        <v>655</v>
      </c>
      <c r="BK27" s="92"/>
      <c r="BL27" s="90"/>
      <c r="BM27" s="90"/>
      <c r="BN27" s="90"/>
      <c r="BO27" s="90"/>
      <c r="BQ27" s="90"/>
      <c r="BR27" s="91" t="s">
        <v>429</v>
      </c>
      <c r="BS27" s="128" t="s">
        <v>15</v>
      </c>
      <c r="BT27" s="92"/>
      <c r="BU27" s="90"/>
      <c r="BV27" s="90"/>
      <c r="BX27" s="90"/>
      <c r="BY27" s="91" t="s">
        <v>429</v>
      </c>
      <c r="BZ27" s="105" t="s">
        <v>500</v>
      </c>
      <c r="CA27" s="92"/>
      <c r="CB27" s="90"/>
      <c r="CC27" s="90"/>
      <c r="CD27" s="90"/>
      <c r="CE27" s="90"/>
      <c r="CF27" s="90"/>
      <c r="CH27" s="90"/>
      <c r="CI27" s="91" t="s">
        <v>429</v>
      </c>
      <c r="CJ27" s="105" t="s">
        <v>159</v>
      </c>
      <c r="CK27" s="92"/>
      <c r="CL27" s="90"/>
      <c r="CM27" s="90"/>
      <c r="CO27" s="93"/>
      <c r="CP27" s="94" t="s">
        <v>429</v>
      </c>
      <c r="CQ27" s="95" t="s">
        <v>495</v>
      </c>
      <c r="CR27" s="96"/>
      <c r="CS27" s="93"/>
      <c r="CT27" s="93"/>
    </row>
    <row r="28" spans="1:98">
      <c r="A28" s="90"/>
      <c r="B28" s="90">
        <v>1</v>
      </c>
      <c r="C28" s="92" t="s">
        <v>446</v>
      </c>
      <c r="D28" s="92" t="s">
        <v>141</v>
      </c>
      <c r="E28" s="92"/>
      <c r="F28" s="90"/>
      <c r="G28" s="90"/>
      <c r="H28" s="90"/>
      <c r="I28" s="90"/>
      <c r="J28" s="90"/>
      <c r="L28" s="90"/>
      <c r="M28" s="90">
        <v>1</v>
      </c>
      <c r="N28" s="92" t="s">
        <v>577</v>
      </c>
      <c r="O28" s="92" t="s">
        <v>44</v>
      </c>
      <c r="P28" s="92"/>
      <c r="Q28" s="90"/>
      <c r="R28" s="90"/>
      <c r="S28" s="90"/>
      <c r="U28" s="90"/>
      <c r="V28" s="90">
        <v>1</v>
      </c>
      <c r="W28" s="92" t="s">
        <v>584</v>
      </c>
      <c r="X28" s="92" t="s">
        <v>533</v>
      </c>
      <c r="Y28" s="92"/>
      <c r="Z28" s="92"/>
      <c r="AA28" s="92"/>
      <c r="AB28" s="90"/>
      <c r="AD28" s="90"/>
      <c r="AE28" s="90">
        <v>1</v>
      </c>
      <c r="AF28" s="92" t="s">
        <v>44</v>
      </c>
      <c r="AG28" s="92" t="s">
        <v>251</v>
      </c>
      <c r="AH28" s="92"/>
      <c r="AI28" s="90"/>
      <c r="AJ28" s="90"/>
      <c r="AK28" s="90"/>
      <c r="AM28" s="90"/>
      <c r="AN28" s="90">
        <v>1</v>
      </c>
      <c r="AO28" s="92" t="s">
        <v>145</v>
      </c>
      <c r="AP28" s="92" t="s">
        <v>18</v>
      </c>
      <c r="AQ28" s="92"/>
      <c r="AR28" s="90"/>
      <c r="AT28" s="90"/>
      <c r="AU28" s="90">
        <v>1</v>
      </c>
      <c r="AV28" s="92" t="s">
        <v>9</v>
      </c>
      <c r="AW28" s="92" t="s">
        <v>263</v>
      </c>
      <c r="AX28" s="92"/>
      <c r="AY28" s="90"/>
      <c r="BA28" s="90"/>
      <c r="BB28" s="90">
        <v>1</v>
      </c>
      <c r="BC28" s="92" t="s">
        <v>123</v>
      </c>
      <c r="BD28" s="92" t="s">
        <v>19</v>
      </c>
      <c r="BE28" s="92"/>
      <c r="BF28" s="92"/>
      <c r="BH28" s="90"/>
      <c r="BI28" s="90">
        <v>1</v>
      </c>
      <c r="BJ28" s="92" t="s">
        <v>586</v>
      </c>
      <c r="BK28" s="92" t="s">
        <v>9</v>
      </c>
      <c r="BL28" s="92"/>
      <c r="BM28" s="92"/>
      <c r="BN28" s="92"/>
      <c r="BO28" s="90"/>
      <c r="BQ28" s="90"/>
      <c r="BR28" s="90">
        <v>1</v>
      </c>
      <c r="BS28" s="92" t="s">
        <v>5</v>
      </c>
      <c r="BT28" s="92" t="s">
        <v>548</v>
      </c>
      <c r="BU28" s="92"/>
      <c r="BV28" s="90"/>
      <c r="BX28" s="90"/>
      <c r="BY28" s="90">
        <v>1</v>
      </c>
      <c r="BZ28" s="92" t="s">
        <v>263</v>
      </c>
      <c r="CA28" s="92" t="s">
        <v>21</v>
      </c>
      <c r="CB28" s="92"/>
      <c r="CC28" s="90"/>
      <c r="CD28" s="90"/>
      <c r="CE28" s="90"/>
      <c r="CF28" s="90"/>
      <c r="CH28" s="90"/>
      <c r="CI28" s="90">
        <v>1</v>
      </c>
      <c r="CJ28" s="92" t="s">
        <v>533</v>
      </c>
      <c r="CK28" s="92" t="s">
        <v>574</v>
      </c>
      <c r="CL28" s="92"/>
      <c r="CM28" s="90"/>
      <c r="CO28" s="93"/>
      <c r="CP28" s="93">
        <v>1</v>
      </c>
      <c r="CQ28" s="96" t="s">
        <v>587</v>
      </c>
      <c r="CR28" s="96" t="s">
        <v>12</v>
      </c>
      <c r="CS28" s="96"/>
      <c r="CT28" s="93"/>
    </row>
    <row r="29" spans="1:98">
      <c r="A29" s="90"/>
      <c r="B29" s="90"/>
      <c r="C29" s="92">
        <v>0</v>
      </c>
      <c r="D29" s="92">
        <v>1</v>
      </c>
      <c r="E29" s="92"/>
      <c r="F29" s="90"/>
      <c r="G29" s="90"/>
      <c r="H29" s="90"/>
      <c r="I29" s="90"/>
      <c r="J29" s="90"/>
      <c r="L29" s="90"/>
      <c r="M29" s="90"/>
      <c r="N29" s="92">
        <v>2</v>
      </c>
      <c r="O29" s="92">
        <v>0</v>
      </c>
      <c r="P29" s="92"/>
      <c r="Q29" s="90"/>
      <c r="R29" s="90"/>
      <c r="S29" s="90"/>
      <c r="U29" s="90"/>
      <c r="V29" s="90"/>
      <c r="W29" s="92">
        <v>3</v>
      </c>
      <c r="X29" s="92">
        <v>0</v>
      </c>
      <c r="Y29" s="92"/>
      <c r="Z29" s="92"/>
      <c r="AA29" s="92"/>
      <c r="AB29" s="90"/>
      <c r="AD29" s="90"/>
      <c r="AE29" s="90"/>
      <c r="AF29" s="92">
        <v>0</v>
      </c>
      <c r="AG29" s="92">
        <v>3</v>
      </c>
      <c r="AH29" s="92"/>
      <c r="AI29" s="90"/>
      <c r="AJ29" s="90"/>
      <c r="AK29" s="90"/>
      <c r="AM29" s="90"/>
      <c r="AN29" s="90"/>
      <c r="AO29" s="92">
        <v>1</v>
      </c>
      <c r="AP29" s="92">
        <v>0</v>
      </c>
      <c r="AQ29" s="92"/>
      <c r="AR29" s="90"/>
      <c r="AT29" s="90"/>
      <c r="AU29" s="90"/>
      <c r="AV29" s="92">
        <v>0</v>
      </c>
      <c r="AW29" s="92">
        <v>3</v>
      </c>
      <c r="AX29" s="92"/>
      <c r="AY29" s="90"/>
      <c r="BA29" s="90"/>
      <c r="BB29" s="90"/>
      <c r="BC29" s="92">
        <v>1</v>
      </c>
      <c r="BD29" s="92">
        <v>0</v>
      </c>
      <c r="BE29" s="92"/>
      <c r="BF29" s="92"/>
      <c r="BH29" s="90"/>
      <c r="BI29" s="90"/>
      <c r="BJ29" s="92">
        <v>1</v>
      </c>
      <c r="BK29" s="92">
        <v>0</v>
      </c>
      <c r="BL29" s="92"/>
      <c r="BM29" s="92"/>
      <c r="BN29" s="92"/>
      <c r="BO29" s="90"/>
      <c r="BQ29" s="90"/>
      <c r="BR29" s="90"/>
      <c r="BS29" s="92">
        <v>0</v>
      </c>
      <c r="BT29" s="92">
        <v>1</v>
      </c>
      <c r="BU29" s="92"/>
      <c r="BV29" s="90"/>
      <c r="BX29" s="90"/>
      <c r="BY29" s="90"/>
      <c r="BZ29" s="92">
        <v>1</v>
      </c>
      <c r="CA29" s="92">
        <v>0</v>
      </c>
      <c r="CB29" s="92"/>
      <c r="CC29" s="90"/>
      <c r="CD29" s="90"/>
      <c r="CE29" s="90"/>
      <c r="CF29" s="90"/>
      <c r="CH29" s="90"/>
      <c r="CI29" s="90"/>
      <c r="CJ29" s="92">
        <v>0</v>
      </c>
      <c r="CK29" s="92">
        <v>3</v>
      </c>
      <c r="CL29" s="92"/>
      <c r="CM29" s="90"/>
      <c r="CO29" s="93"/>
      <c r="CP29" s="93"/>
      <c r="CQ29" s="96">
        <v>2</v>
      </c>
      <c r="CR29" s="96">
        <v>0</v>
      </c>
      <c r="CS29" s="96"/>
      <c r="CT29" s="93"/>
    </row>
    <row r="30" spans="1:98">
      <c r="A30" s="90"/>
      <c r="B30" s="90">
        <v>2</v>
      </c>
      <c r="C30" s="92" t="s">
        <v>18</v>
      </c>
      <c r="D30" s="92" t="s">
        <v>111</v>
      </c>
      <c r="E30" s="92"/>
      <c r="F30" s="90"/>
      <c r="G30" s="90"/>
      <c r="H30" s="90"/>
      <c r="I30" s="90"/>
      <c r="J30" s="90"/>
      <c r="L30" s="90"/>
      <c r="M30" s="90">
        <v>2</v>
      </c>
      <c r="N30" s="92" t="s">
        <v>18</v>
      </c>
      <c r="O30" s="92" t="s">
        <v>144</v>
      </c>
      <c r="P30" s="92"/>
      <c r="Q30" s="90"/>
      <c r="R30" s="90"/>
      <c r="S30" s="90"/>
      <c r="U30" s="90"/>
      <c r="V30" s="90">
        <v>2</v>
      </c>
      <c r="W30" s="92" t="s">
        <v>11</v>
      </c>
      <c r="X30" s="92" t="s">
        <v>75</v>
      </c>
      <c r="Y30" s="92"/>
      <c r="Z30" s="92"/>
      <c r="AA30" s="92"/>
      <c r="AB30" s="90"/>
      <c r="AD30" s="90" t="s">
        <v>220</v>
      </c>
      <c r="AE30" s="90">
        <v>2</v>
      </c>
      <c r="AF30" s="92" t="s">
        <v>110</v>
      </c>
      <c r="AG30" s="92" t="s">
        <v>533</v>
      </c>
      <c r="AH30" s="92"/>
      <c r="AI30" s="90"/>
      <c r="AJ30" s="90"/>
      <c r="AK30" s="90"/>
      <c r="AM30" s="90"/>
      <c r="AN30" s="90">
        <v>2</v>
      </c>
      <c r="AO30" s="92" t="s">
        <v>72</v>
      </c>
      <c r="AP30" s="92" t="s">
        <v>5</v>
      </c>
      <c r="AQ30" s="92"/>
      <c r="AR30" s="90"/>
      <c r="AT30" s="90"/>
      <c r="AU30" s="90">
        <v>2</v>
      </c>
      <c r="AV30" s="92" t="s">
        <v>574</v>
      </c>
      <c r="AW30" s="92" t="s">
        <v>290</v>
      </c>
      <c r="AX30" s="92"/>
      <c r="AY30" s="90"/>
      <c r="BA30" s="90"/>
      <c r="BB30" s="90">
        <v>2</v>
      </c>
      <c r="BC30" s="92" t="s">
        <v>7</v>
      </c>
      <c r="BD30" s="92" t="s">
        <v>566</v>
      </c>
      <c r="BE30" s="92"/>
      <c r="BF30" s="92"/>
      <c r="BH30" s="90"/>
      <c r="BI30" s="90">
        <v>2</v>
      </c>
      <c r="BJ30" s="92" t="s">
        <v>110</v>
      </c>
      <c r="BK30" s="92" t="s">
        <v>21</v>
      </c>
      <c r="BL30" s="92"/>
      <c r="BM30" s="92"/>
      <c r="BN30" s="92"/>
      <c r="BO30" s="90"/>
      <c r="BQ30" s="90"/>
      <c r="BR30" s="90">
        <v>2</v>
      </c>
      <c r="BS30" s="92" t="s">
        <v>894</v>
      </c>
      <c r="BT30" s="92" t="s">
        <v>66</v>
      </c>
      <c r="BU30" s="92"/>
      <c r="BV30" s="90"/>
      <c r="BX30" s="90" t="s">
        <v>671</v>
      </c>
      <c r="BY30" s="90">
        <v>2</v>
      </c>
      <c r="BZ30" s="92" t="s">
        <v>585</v>
      </c>
      <c r="CA30" s="92" t="s">
        <v>6</v>
      </c>
      <c r="CB30" s="92"/>
      <c r="CC30" s="90"/>
      <c r="CD30" s="90"/>
      <c r="CE30" s="90"/>
      <c r="CF30" s="90"/>
      <c r="CH30" s="90"/>
      <c r="CI30" s="90">
        <v>2</v>
      </c>
      <c r="CJ30" s="92" t="s">
        <v>589</v>
      </c>
      <c r="CK30" s="92" t="s">
        <v>44</v>
      </c>
      <c r="CL30" s="92"/>
      <c r="CM30" s="90"/>
      <c r="CO30" s="93"/>
      <c r="CP30" s="93">
        <v>2</v>
      </c>
      <c r="CQ30" s="96" t="s">
        <v>11</v>
      </c>
      <c r="CR30" s="96" t="s">
        <v>548</v>
      </c>
      <c r="CS30" s="96"/>
      <c r="CT30" s="93"/>
    </row>
    <row r="31" spans="1:98">
      <c r="A31" s="90"/>
      <c r="B31" s="90"/>
      <c r="C31" s="92">
        <v>0</v>
      </c>
      <c r="D31" s="92">
        <v>2</v>
      </c>
      <c r="E31" s="92"/>
      <c r="F31" s="90"/>
      <c r="G31" s="90"/>
      <c r="H31" s="90"/>
      <c r="I31" s="90"/>
      <c r="J31" s="90"/>
      <c r="L31" s="90"/>
      <c r="M31" s="90"/>
      <c r="N31" s="92">
        <v>0</v>
      </c>
      <c r="O31" s="92">
        <v>2</v>
      </c>
      <c r="P31" s="92"/>
      <c r="Q31" s="90"/>
      <c r="R31" s="90"/>
      <c r="S31" s="90"/>
      <c r="U31" s="90"/>
      <c r="V31" s="90"/>
      <c r="W31" s="92">
        <v>0</v>
      </c>
      <c r="X31" s="92">
        <v>2</v>
      </c>
      <c r="Y31" s="92"/>
      <c r="Z31" s="92"/>
      <c r="AA31" s="92"/>
      <c r="AB31" s="90"/>
      <c r="AD31" s="90" t="s">
        <v>877</v>
      </c>
      <c r="AE31" s="90"/>
      <c r="AF31" s="92">
        <v>1</v>
      </c>
      <c r="AG31" s="92">
        <v>0</v>
      </c>
      <c r="AH31" s="92"/>
      <c r="AI31" s="90"/>
      <c r="AJ31" s="90"/>
      <c r="AK31" s="90"/>
      <c r="AM31" s="90"/>
      <c r="AN31" s="90"/>
      <c r="AO31" s="92">
        <v>1</v>
      </c>
      <c r="AP31" s="92">
        <v>0</v>
      </c>
      <c r="AQ31" s="92"/>
      <c r="AR31" s="90"/>
      <c r="AT31" s="90"/>
      <c r="AU31" s="90"/>
      <c r="AV31" s="92">
        <v>2</v>
      </c>
      <c r="AW31" s="92">
        <v>0</v>
      </c>
      <c r="AX31" s="92"/>
      <c r="AY31" s="90"/>
      <c r="BA31" s="90"/>
      <c r="BB31" s="90"/>
      <c r="BC31" s="92">
        <v>0</v>
      </c>
      <c r="BD31" s="92">
        <v>1</v>
      </c>
      <c r="BE31" s="92"/>
      <c r="BF31" s="92"/>
      <c r="BH31" s="90"/>
      <c r="BI31" s="90"/>
      <c r="BJ31" s="92">
        <v>2</v>
      </c>
      <c r="BK31" s="92">
        <v>0</v>
      </c>
      <c r="BL31" s="92"/>
      <c r="BM31" s="92"/>
      <c r="BN31" s="92"/>
      <c r="BO31" s="90"/>
      <c r="BQ31" s="90"/>
      <c r="BR31" s="90"/>
      <c r="BS31" s="92">
        <v>1</v>
      </c>
      <c r="BT31" s="92">
        <v>0</v>
      </c>
      <c r="BU31" s="92"/>
      <c r="BV31" s="90"/>
      <c r="BX31" s="90"/>
      <c r="BY31" s="90"/>
      <c r="BZ31" s="92">
        <v>3</v>
      </c>
      <c r="CA31" s="92">
        <v>0</v>
      </c>
      <c r="CB31" s="92"/>
      <c r="CC31" s="90"/>
      <c r="CD31" s="90"/>
      <c r="CE31" s="90"/>
      <c r="CF31" s="90"/>
      <c r="CH31" s="90"/>
      <c r="CI31" s="90"/>
      <c r="CJ31" s="92">
        <v>3</v>
      </c>
      <c r="CK31" s="92">
        <v>0</v>
      </c>
      <c r="CL31" s="92"/>
      <c r="CM31" s="90"/>
      <c r="CO31" s="93"/>
      <c r="CP31" s="93"/>
      <c r="CQ31" s="96">
        <v>0</v>
      </c>
      <c r="CR31" s="96">
        <v>1</v>
      </c>
      <c r="CS31" s="96"/>
      <c r="CT31" s="93"/>
    </row>
    <row r="32" spans="1:98">
      <c r="A32" s="90"/>
      <c r="B32" s="90">
        <v>3</v>
      </c>
      <c r="C32" s="92" t="s">
        <v>550</v>
      </c>
      <c r="D32" s="92" t="s">
        <v>1</v>
      </c>
      <c r="E32" s="90"/>
      <c r="F32" s="90"/>
      <c r="G32" s="90"/>
      <c r="H32" s="90"/>
      <c r="I32" s="90"/>
      <c r="J32" s="90"/>
      <c r="L32" s="90"/>
      <c r="M32" s="90">
        <v>3</v>
      </c>
      <c r="N32" s="92" t="s">
        <v>141</v>
      </c>
      <c r="O32" s="92" t="s">
        <v>46</v>
      </c>
      <c r="P32" s="90"/>
      <c r="Q32" s="90"/>
      <c r="R32" s="90"/>
      <c r="S32" s="90"/>
      <c r="U32" s="90"/>
      <c r="V32" s="90">
        <v>3</v>
      </c>
      <c r="W32" s="92" t="s">
        <v>551</v>
      </c>
      <c r="X32" s="92" t="s">
        <v>18</v>
      </c>
      <c r="Y32" s="90"/>
      <c r="Z32" s="90"/>
      <c r="AA32" s="90"/>
      <c r="AB32" s="90"/>
      <c r="AD32" s="90" t="s">
        <v>220</v>
      </c>
      <c r="AE32" s="90">
        <v>3</v>
      </c>
      <c r="AF32" s="92" t="s">
        <v>550</v>
      </c>
      <c r="AG32" s="92" t="s">
        <v>54</v>
      </c>
      <c r="AH32" s="90"/>
      <c r="AI32" s="90"/>
      <c r="AJ32" s="90"/>
      <c r="AK32" s="90"/>
      <c r="AM32" s="90"/>
      <c r="AN32" s="90">
        <v>3</v>
      </c>
      <c r="AO32" s="92" t="s">
        <v>577</v>
      </c>
      <c r="AP32" s="92" t="s">
        <v>39</v>
      </c>
      <c r="AQ32" s="90"/>
      <c r="AR32" s="90"/>
      <c r="AT32" s="90"/>
      <c r="AU32" s="90">
        <v>3</v>
      </c>
      <c r="AV32" s="92" t="s">
        <v>66</v>
      </c>
      <c r="AW32" s="92" t="s">
        <v>123</v>
      </c>
      <c r="AX32" s="90"/>
      <c r="AY32" s="90"/>
      <c r="BA32" s="90"/>
      <c r="BB32" s="90">
        <v>3</v>
      </c>
      <c r="BC32" s="92" t="s">
        <v>12</v>
      </c>
      <c r="BD32" s="92" t="s">
        <v>72</v>
      </c>
      <c r="BE32" s="90"/>
      <c r="BF32" s="92"/>
      <c r="BH32" s="90"/>
      <c r="BI32" s="90">
        <v>3</v>
      </c>
      <c r="BJ32" s="92" t="s">
        <v>78</v>
      </c>
      <c r="BK32" s="92" t="s">
        <v>548</v>
      </c>
      <c r="BL32" s="90"/>
      <c r="BM32" s="90"/>
      <c r="BN32" s="90"/>
      <c r="BO32" s="90"/>
      <c r="BQ32" s="90"/>
      <c r="BR32" s="90">
        <v>3</v>
      </c>
      <c r="BS32" s="92" t="s">
        <v>59</v>
      </c>
      <c r="BT32" s="92" t="s">
        <v>263</v>
      </c>
      <c r="BU32" s="90"/>
      <c r="BV32" s="90"/>
      <c r="BX32" s="90"/>
      <c r="BY32" s="90">
        <v>3</v>
      </c>
      <c r="BZ32" s="92" t="s">
        <v>550</v>
      </c>
      <c r="CA32" s="92" t="s">
        <v>11</v>
      </c>
      <c r="CB32" s="90"/>
      <c r="CC32" s="90"/>
      <c r="CD32" s="90"/>
      <c r="CE32" s="90"/>
      <c r="CF32" s="90"/>
      <c r="CH32" s="90"/>
      <c r="CI32" s="90">
        <v>3</v>
      </c>
      <c r="CJ32" s="92" t="s">
        <v>8</v>
      </c>
      <c r="CK32" s="92" t="s">
        <v>71</v>
      </c>
      <c r="CL32" s="90"/>
      <c r="CM32" s="90"/>
      <c r="CO32" s="93"/>
      <c r="CP32" s="93">
        <v>3</v>
      </c>
      <c r="CQ32" s="96" t="s">
        <v>584</v>
      </c>
      <c r="CR32" s="96" t="s">
        <v>6</v>
      </c>
      <c r="CS32" s="93"/>
      <c r="CT32" s="93"/>
    </row>
    <row r="33" spans="1:98">
      <c r="A33" s="90"/>
      <c r="B33" s="90"/>
      <c r="C33" s="92">
        <v>2</v>
      </c>
      <c r="D33" s="92">
        <v>0</v>
      </c>
      <c r="E33" s="92"/>
      <c r="F33" s="90"/>
      <c r="G33" s="90"/>
      <c r="H33" s="90"/>
      <c r="I33" s="90"/>
      <c r="J33" s="90"/>
      <c r="L33" s="90"/>
      <c r="M33" s="90"/>
      <c r="N33" s="92">
        <v>2</v>
      </c>
      <c r="O33" s="92">
        <v>0</v>
      </c>
      <c r="P33" s="92"/>
      <c r="Q33" s="90"/>
      <c r="R33" s="90"/>
      <c r="S33" s="90"/>
      <c r="U33" s="90"/>
      <c r="V33" s="90"/>
      <c r="W33" s="92">
        <v>2</v>
      </c>
      <c r="X33" s="92">
        <v>0</v>
      </c>
      <c r="Y33" s="92"/>
      <c r="Z33" s="92"/>
      <c r="AA33" s="92"/>
      <c r="AB33" s="90"/>
      <c r="AD33" s="90"/>
      <c r="AE33" s="90"/>
      <c r="AF33" s="92">
        <v>1</v>
      </c>
      <c r="AG33" s="92">
        <v>0</v>
      </c>
      <c r="AH33" s="92"/>
      <c r="AI33" s="90"/>
      <c r="AJ33" s="90"/>
      <c r="AK33" s="90"/>
      <c r="AM33" s="90"/>
      <c r="AN33" s="90"/>
      <c r="AO33" s="92">
        <v>2</v>
      </c>
      <c r="AP33" s="92">
        <v>0</v>
      </c>
      <c r="AQ33" s="92"/>
      <c r="AR33" s="90"/>
      <c r="AT33" s="90"/>
      <c r="AU33" s="90"/>
      <c r="AV33" s="92">
        <v>0</v>
      </c>
      <c r="AW33" s="92">
        <v>2</v>
      </c>
      <c r="AX33" s="92"/>
      <c r="AY33" s="90"/>
      <c r="BA33" s="90"/>
      <c r="BB33" s="90"/>
      <c r="BC33" s="92">
        <v>0</v>
      </c>
      <c r="BD33" s="92">
        <v>2</v>
      </c>
      <c r="BE33" s="92"/>
      <c r="BF33" s="92"/>
      <c r="BH33" s="90"/>
      <c r="BI33" s="90"/>
      <c r="BJ33" s="92">
        <v>0</v>
      </c>
      <c r="BK33" s="92">
        <v>2</v>
      </c>
      <c r="BL33" s="92"/>
      <c r="BM33" s="92"/>
      <c r="BN33" s="92"/>
      <c r="BO33" s="90"/>
      <c r="BQ33" s="90"/>
      <c r="BR33" s="90"/>
      <c r="BS33" s="92">
        <v>0</v>
      </c>
      <c r="BT33" s="92">
        <v>2</v>
      </c>
      <c r="BU33" s="92"/>
      <c r="BV33" s="90"/>
      <c r="BX33" s="90"/>
      <c r="BY33" s="90"/>
      <c r="BZ33" s="92">
        <v>1</v>
      </c>
      <c r="CA33" s="92">
        <v>0</v>
      </c>
      <c r="CB33" s="92"/>
      <c r="CC33" s="90"/>
      <c r="CD33" s="90"/>
      <c r="CE33" s="90"/>
      <c r="CF33" s="90"/>
      <c r="CH33" s="90"/>
      <c r="CI33" s="90"/>
      <c r="CJ33" s="92">
        <v>0</v>
      </c>
      <c r="CK33" s="92">
        <v>1</v>
      </c>
      <c r="CL33" s="92"/>
      <c r="CM33" s="90"/>
      <c r="CO33" s="93"/>
      <c r="CP33" s="93"/>
      <c r="CQ33" s="96">
        <v>3</v>
      </c>
      <c r="CR33" s="96">
        <v>0</v>
      </c>
      <c r="CS33" s="96"/>
      <c r="CT33" s="93"/>
    </row>
    <row r="34" spans="1:98">
      <c r="A34" s="90"/>
      <c r="B34" s="90">
        <v>4</v>
      </c>
      <c r="C34" s="92" t="s">
        <v>78</v>
      </c>
      <c r="D34" s="92" t="s">
        <v>263</v>
      </c>
      <c r="E34" s="92"/>
      <c r="F34" s="90"/>
      <c r="G34" s="90"/>
      <c r="H34" s="90"/>
      <c r="I34" s="90"/>
      <c r="J34" s="90"/>
      <c r="L34" s="90" t="s">
        <v>572</v>
      </c>
      <c r="M34" s="90">
        <v>4</v>
      </c>
      <c r="N34" s="92" t="s">
        <v>11</v>
      </c>
      <c r="O34" s="92" t="s">
        <v>72</v>
      </c>
      <c r="P34" s="92"/>
      <c r="Q34" s="90"/>
      <c r="R34" s="90"/>
      <c r="S34" s="90"/>
      <c r="U34" s="90"/>
      <c r="V34" s="90">
        <v>4</v>
      </c>
      <c r="W34" s="92" t="s">
        <v>66</v>
      </c>
      <c r="X34" s="92" t="s">
        <v>263</v>
      </c>
      <c r="Y34" s="92"/>
      <c r="Z34" s="92"/>
      <c r="AA34" s="92"/>
      <c r="AB34" s="90"/>
      <c r="AD34" s="90"/>
      <c r="AE34" s="90">
        <v>4</v>
      </c>
      <c r="AF34" s="92" t="s">
        <v>49</v>
      </c>
      <c r="AG34" s="92" t="s">
        <v>71</v>
      </c>
      <c r="AH34" s="92"/>
      <c r="AI34" s="90"/>
      <c r="AJ34" s="90"/>
      <c r="AK34" s="90"/>
      <c r="AM34" s="90"/>
      <c r="AN34" s="90">
        <v>4</v>
      </c>
      <c r="AO34" s="92" t="s">
        <v>151</v>
      </c>
      <c r="AP34" s="92" t="s">
        <v>61</v>
      </c>
      <c r="AQ34" s="92"/>
      <c r="AR34" s="90"/>
      <c r="AT34" s="90"/>
      <c r="AU34" s="90">
        <v>4</v>
      </c>
      <c r="AV34" s="92" t="s">
        <v>21</v>
      </c>
      <c r="AW34" s="92" t="s">
        <v>587</v>
      </c>
      <c r="AX34" s="92"/>
      <c r="AY34" s="90"/>
      <c r="BA34" s="90" t="s">
        <v>642</v>
      </c>
      <c r="BB34" s="90">
        <v>4</v>
      </c>
      <c r="BC34" s="92" t="s">
        <v>18</v>
      </c>
      <c r="BD34" s="92" t="s">
        <v>9</v>
      </c>
      <c r="BE34" s="92" t="s">
        <v>222</v>
      </c>
      <c r="BF34" s="92" t="s">
        <v>6</v>
      </c>
      <c r="BH34" s="90" t="s">
        <v>658</v>
      </c>
      <c r="BI34" s="90">
        <v>4</v>
      </c>
      <c r="BJ34" s="92" t="s">
        <v>574</v>
      </c>
      <c r="BK34" s="92" t="s">
        <v>11</v>
      </c>
      <c r="BL34" s="92"/>
      <c r="BM34" s="92"/>
      <c r="BN34" s="92"/>
      <c r="BO34" s="90"/>
      <c r="BQ34" s="90"/>
      <c r="BR34" s="90">
        <v>4</v>
      </c>
      <c r="BS34" s="92" t="s">
        <v>78</v>
      </c>
      <c r="BT34" s="92" t="s">
        <v>151</v>
      </c>
      <c r="BU34" s="92"/>
      <c r="BV34" s="90"/>
      <c r="BX34" s="90" t="s">
        <v>554</v>
      </c>
      <c r="BY34" s="90">
        <v>4</v>
      </c>
      <c r="BZ34" s="92" t="s">
        <v>43</v>
      </c>
      <c r="CA34" s="92" t="s">
        <v>584</v>
      </c>
      <c r="CB34" s="92"/>
      <c r="CC34" s="90"/>
      <c r="CD34" s="90"/>
      <c r="CE34" s="90"/>
      <c r="CF34" s="90"/>
      <c r="CH34" s="90"/>
      <c r="CI34" s="90">
        <v>4</v>
      </c>
      <c r="CJ34" s="92" t="s">
        <v>7</v>
      </c>
      <c r="CK34" s="92" t="s">
        <v>566</v>
      </c>
      <c r="CL34" s="92"/>
      <c r="CM34" s="90"/>
      <c r="CO34" s="93" t="s">
        <v>240</v>
      </c>
      <c r="CP34" s="93">
        <v>4</v>
      </c>
      <c r="CQ34" s="96" t="s">
        <v>550</v>
      </c>
      <c r="CR34" s="96" t="s">
        <v>533</v>
      </c>
      <c r="CS34" s="96"/>
      <c r="CT34" s="93"/>
    </row>
    <row r="35" spans="1:98">
      <c r="A35" s="90"/>
      <c r="B35" s="90"/>
      <c r="C35" s="92">
        <v>0</v>
      </c>
      <c r="D35" s="92">
        <v>2</v>
      </c>
      <c r="E35" s="92"/>
      <c r="F35" s="90"/>
      <c r="G35" s="90"/>
      <c r="H35" s="90"/>
      <c r="I35" s="90"/>
      <c r="J35" s="90"/>
      <c r="L35" s="90"/>
      <c r="M35" s="90"/>
      <c r="N35" s="92">
        <v>0</v>
      </c>
      <c r="O35" s="92">
        <v>2</v>
      </c>
      <c r="P35" s="92"/>
      <c r="Q35" s="90"/>
      <c r="R35" s="90"/>
      <c r="S35" s="90"/>
      <c r="U35" s="90"/>
      <c r="V35" s="90"/>
      <c r="W35" s="92">
        <v>0</v>
      </c>
      <c r="X35" s="92">
        <v>3</v>
      </c>
      <c r="Y35" s="92"/>
      <c r="Z35" s="92"/>
      <c r="AA35" s="92"/>
      <c r="AB35" s="90"/>
      <c r="AD35" s="90"/>
      <c r="AE35" s="90"/>
      <c r="AF35" s="92">
        <v>0</v>
      </c>
      <c r="AG35" s="92">
        <v>1</v>
      </c>
      <c r="AH35" s="92"/>
      <c r="AI35" s="90"/>
      <c r="AJ35" s="90"/>
      <c r="AK35" s="90"/>
      <c r="AM35" s="90"/>
      <c r="AN35" s="90"/>
      <c r="AO35" s="92">
        <v>2</v>
      </c>
      <c r="AP35" s="92">
        <v>0</v>
      </c>
      <c r="AQ35" s="92"/>
      <c r="AR35" s="90"/>
      <c r="AT35" s="90"/>
      <c r="AU35" s="90"/>
      <c r="AV35" s="92">
        <v>0</v>
      </c>
      <c r="AW35" s="92">
        <v>2</v>
      </c>
      <c r="AX35" s="92"/>
      <c r="AY35" s="90"/>
      <c r="BA35" s="90"/>
      <c r="BB35" s="90"/>
      <c r="BC35" s="92">
        <v>0</v>
      </c>
      <c r="BD35" s="92">
        <v>0</v>
      </c>
      <c r="BE35" s="92">
        <v>2</v>
      </c>
      <c r="BF35" s="92">
        <v>0</v>
      </c>
      <c r="BH35" s="90"/>
      <c r="BI35" s="90"/>
      <c r="BJ35" s="92">
        <v>1</v>
      </c>
      <c r="BK35" s="92">
        <v>0</v>
      </c>
      <c r="BL35" s="92"/>
      <c r="BM35" s="92"/>
      <c r="BN35" s="92"/>
      <c r="BO35" s="90"/>
      <c r="BQ35" s="90"/>
      <c r="BR35" s="90"/>
      <c r="BS35" s="92">
        <v>0</v>
      </c>
      <c r="BT35" s="92">
        <v>1</v>
      </c>
      <c r="BU35" s="92"/>
      <c r="BV35" s="90"/>
      <c r="BX35" s="90"/>
      <c r="BY35" s="90"/>
      <c r="BZ35" s="92">
        <v>0</v>
      </c>
      <c r="CA35" s="92">
        <v>1</v>
      </c>
      <c r="CB35" s="92"/>
      <c r="CC35" s="90"/>
      <c r="CD35" s="90"/>
      <c r="CE35" s="90"/>
      <c r="CF35" s="90"/>
      <c r="CH35" s="90"/>
      <c r="CI35" s="90"/>
      <c r="CJ35" s="92">
        <v>0</v>
      </c>
      <c r="CK35" s="92">
        <v>1</v>
      </c>
      <c r="CL35" s="92"/>
      <c r="CM35" s="90"/>
      <c r="CO35" s="93"/>
      <c r="CP35" s="93"/>
      <c r="CQ35" s="96">
        <v>1</v>
      </c>
      <c r="CR35" s="96">
        <v>0</v>
      </c>
      <c r="CS35" s="96"/>
      <c r="CT35" s="93"/>
    </row>
    <row r="36" spans="1:98">
      <c r="A36" s="90" t="s">
        <v>108</v>
      </c>
      <c r="B36" s="90">
        <v>5</v>
      </c>
      <c r="C36" s="92" t="s">
        <v>54</v>
      </c>
      <c r="D36" s="92" t="s">
        <v>551</v>
      </c>
      <c r="E36" s="92"/>
      <c r="F36" s="90"/>
      <c r="G36" s="90"/>
      <c r="H36" s="90"/>
      <c r="I36" s="90"/>
      <c r="J36" s="90"/>
      <c r="L36" s="90" t="s">
        <v>556</v>
      </c>
      <c r="M36" s="90">
        <v>5</v>
      </c>
      <c r="N36" s="92" t="s">
        <v>446</v>
      </c>
      <c r="O36" s="92" t="s">
        <v>263</v>
      </c>
      <c r="P36" s="92" t="s">
        <v>7</v>
      </c>
      <c r="Q36" s="90"/>
      <c r="R36" s="90"/>
      <c r="S36" s="90"/>
      <c r="U36" s="90" t="s">
        <v>591</v>
      </c>
      <c r="V36" s="90">
        <v>5</v>
      </c>
      <c r="W36" s="92" t="s">
        <v>49</v>
      </c>
      <c r="X36" s="92" t="s">
        <v>72</v>
      </c>
      <c r="Y36" s="92"/>
      <c r="Z36" s="92"/>
      <c r="AA36" s="92"/>
      <c r="AB36" s="90"/>
      <c r="AD36" s="90" t="s">
        <v>582</v>
      </c>
      <c r="AE36" s="90">
        <v>5</v>
      </c>
      <c r="AF36" s="92" t="s">
        <v>78</v>
      </c>
      <c r="AG36" s="92" t="s">
        <v>123</v>
      </c>
      <c r="AH36" s="92"/>
      <c r="AI36" s="90"/>
      <c r="AJ36" s="90"/>
      <c r="AK36" s="90"/>
      <c r="AM36" s="90" t="s">
        <v>555</v>
      </c>
      <c r="AN36" s="90">
        <v>5</v>
      </c>
      <c r="AO36" s="92" t="s">
        <v>263</v>
      </c>
      <c r="AP36" s="92" t="s">
        <v>78</v>
      </c>
      <c r="AQ36" s="92" t="s">
        <v>53</v>
      </c>
      <c r="AR36" s="90"/>
      <c r="AT36" s="90" t="s">
        <v>582</v>
      </c>
      <c r="AU36" s="90">
        <v>5</v>
      </c>
      <c r="AV36" s="92" t="s">
        <v>12</v>
      </c>
      <c r="AW36" s="92" t="s">
        <v>551</v>
      </c>
      <c r="AX36" s="92"/>
      <c r="AY36" s="90"/>
      <c r="BA36" s="90" t="s">
        <v>643</v>
      </c>
      <c r="BB36" s="90">
        <v>5</v>
      </c>
      <c r="BC36" s="92" t="s">
        <v>550</v>
      </c>
      <c r="BD36" s="92" t="s">
        <v>21</v>
      </c>
      <c r="BE36" s="92" t="s">
        <v>533</v>
      </c>
      <c r="BF36" s="92"/>
      <c r="BH36" s="90" t="s">
        <v>657</v>
      </c>
      <c r="BI36" s="90">
        <v>5</v>
      </c>
      <c r="BJ36" s="92" t="s">
        <v>71</v>
      </c>
      <c r="BK36" s="92" t="s">
        <v>60</v>
      </c>
      <c r="BL36" s="92"/>
      <c r="BM36" s="92"/>
      <c r="BN36" s="92"/>
      <c r="BO36" s="90"/>
      <c r="BQ36" s="90" t="s">
        <v>582</v>
      </c>
      <c r="BR36" s="90">
        <v>5</v>
      </c>
      <c r="BS36" s="92" t="s">
        <v>8</v>
      </c>
      <c r="BT36" s="92" t="s">
        <v>551</v>
      </c>
      <c r="BU36" s="92"/>
      <c r="BV36" s="90"/>
      <c r="BX36" s="90" t="s">
        <v>556</v>
      </c>
      <c r="BY36" s="90">
        <v>5</v>
      </c>
      <c r="BZ36" s="92" t="s">
        <v>587</v>
      </c>
      <c r="CA36" s="92" t="s">
        <v>12</v>
      </c>
      <c r="CB36" s="92"/>
      <c r="CC36" s="90"/>
      <c r="CD36" s="90"/>
      <c r="CE36" s="90"/>
      <c r="CF36" s="90"/>
      <c r="CH36" s="90" t="s">
        <v>581</v>
      </c>
      <c r="CI36" s="90">
        <v>5</v>
      </c>
      <c r="CJ36" s="92" t="s">
        <v>61</v>
      </c>
      <c r="CK36" s="92" t="s">
        <v>138</v>
      </c>
      <c r="CL36" s="92"/>
      <c r="CM36" s="90"/>
      <c r="CO36" s="93" t="s">
        <v>657</v>
      </c>
      <c r="CP36" s="93">
        <v>5</v>
      </c>
      <c r="CQ36" s="96" t="s">
        <v>123</v>
      </c>
      <c r="CR36" s="96" t="s">
        <v>43</v>
      </c>
      <c r="CS36" s="96"/>
      <c r="CT36" s="93"/>
    </row>
    <row r="37" spans="1:98">
      <c r="A37" s="90"/>
      <c r="B37" s="90"/>
      <c r="C37" s="92">
        <v>0</v>
      </c>
      <c r="D37" s="92">
        <v>2</v>
      </c>
      <c r="E37" s="92"/>
      <c r="F37" s="90"/>
      <c r="G37" s="90"/>
      <c r="H37" s="90"/>
      <c r="I37" s="90"/>
      <c r="J37" s="90"/>
      <c r="L37" s="90"/>
      <c r="M37" s="90"/>
      <c r="N37" s="92">
        <v>-2</v>
      </c>
      <c r="O37" s="92">
        <v>3</v>
      </c>
      <c r="P37" s="92">
        <v>-1</v>
      </c>
      <c r="Q37" s="90"/>
      <c r="R37" s="90"/>
      <c r="S37" s="90"/>
      <c r="U37" s="90"/>
      <c r="V37" s="90"/>
      <c r="W37" s="92">
        <v>0</v>
      </c>
      <c r="X37" s="92">
        <v>1</v>
      </c>
      <c r="Y37" s="92"/>
      <c r="Z37" s="92"/>
      <c r="AA37" s="92"/>
      <c r="AB37" s="90"/>
      <c r="AD37" s="90"/>
      <c r="AE37" s="90"/>
      <c r="AF37" s="92">
        <v>0</v>
      </c>
      <c r="AG37" s="92">
        <v>3</v>
      </c>
      <c r="AH37" s="92"/>
      <c r="AI37" s="90"/>
      <c r="AJ37" s="90"/>
      <c r="AK37" s="90"/>
      <c r="AM37" s="90" t="s">
        <v>609</v>
      </c>
      <c r="AN37" s="90"/>
      <c r="AO37" s="92">
        <v>1</v>
      </c>
      <c r="AP37" s="92">
        <v>0</v>
      </c>
      <c r="AQ37" s="92">
        <v>0</v>
      </c>
      <c r="AR37" s="90"/>
      <c r="AT37" s="90"/>
      <c r="AU37" s="90"/>
      <c r="AV37" s="92">
        <v>0</v>
      </c>
      <c r="AW37" s="92">
        <v>2</v>
      </c>
      <c r="AX37" s="92"/>
      <c r="AY37" s="90"/>
      <c r="BA37" s="90"/>
      <c r="BB37" s="90"/>
      <c r="BC37" s="92">
        <v>2</v>
      </c>
      <c r="BD37" s="92">
        <v>0</v>
      </c>
      <c r="BE37" s="92">
        <v>0</v>
      </c>
      <c r="BF37" s="92"/>
      <c r="BH37" s="90"/>
      <c r="BI37" s="90"/>
      <c r="BJ37" s="92">
        <v>1</v>
      </c>
      <c r="BK37" s="92">
        <v>0</v>
      </c>
      <c r="BL37" s="92"/>
      <c r="BM37" s="92"/>
      <c r="BN37" s="92"/>
      <c r="BO37" s="90"/>
      <c r="BQ37" s="90"/>
      <c r="BR37" s="90"/>
      <c r="BS37" s="92">
        <v>0</v>
      </c>
      <c r="BT37" s="92">
        <v>1</v>
      </c>
      <c r="BU37" s="92"/>
      <c r="BV37" s="90"/>
      <c r="BX37" s="90"/>
      <c r="BY37" s="90"/>
      <c r="BZ37" s="92">
        <v>3</v>
      </c>
      <c r="CA37" s="92">
        <v>-3</v>
      </c>
      <c r="CB37" s="92"/>
      <c r="CC37" s="90"/>
      <c r="CD37" s="90"/>
      <c r="CE37" s="90"/>
      <c r="CF37" s="90"/>
      <c r="CH37" s="90"/>
      <c r="CI37" s="90"/>
      <c r="CJ37" s="92">
        <v>0</v>
      </c>
      <c r="CK37" s="92">
        <v>1</v>
      </c>
      <c r="CL37" s="92"/>
      <c r="CM37" s="90"/>
      <c r="CO37" s="93"/>
      <c r="CP37" s="93"/>
      <c r="CQ37" s="96">
        <v>2</v>
      </c>
      <c r="CR37" s="96">
        <v>0</v>
      </c>
      <c r="CS37" s="96"/>
      <c r="CT37" s="93"/>
    </row>
    <row r="38" spans="1:98">
      <c r="CO38" s="32"/>
      <c r="CP38" s="32"/>
      <c r="CQ38" s="32"/>
      <c r="CR38" s="32"/>
      <c r="CS38" s="32"/>
      <c r="CT38" s="32"/>
    </row>
    <row r="39" spans="1:98" ht="21">
      <c r="A39" s="10"/>
      <c r="B39" s="11" t="s">
        <v>69</v>
      </c>
      <c r="C39" s="27" t="s">
        <v>553</v>
      </c>
      <c r="D39" s="12"/>
      <c r="E39" s="10"/>
      <c r="F39" s="10"/>
      <c r="G39" s="10"/>
      <c r="H39" s="10"/>
      <c r="I39" s="10"/>
      <c r="J39" s="10"/>
      <c r="L39" s="10"/>
      <c r="M39" s="11" t="s">
        <v>69</v>
      </c>
      <c r="N39" s="103" t="s">
        <v>258</v>
      </c>
      <c r="O39" s="12"/>
      <c r="P39" s="10"/>
      <c r="Q39" s="10"/>
      <c r="R39" s="10"/>
      <c r="S39" s="10"/>
      <c r="U39" s="10"/>
      <c r="V39" s="11" t="s">
        <v>69</v>
      </c>
      <c r="W39" s="103" t="s">
        <v>465</v>
      </c>
      <c r="X39" s="12"/>
      <c r="Y39" s="10"/>
      <c r="Z39" s="10"/>
      <c r="AA39" s="10"/>
      <c r="AB39" s="10"/>
      <c r="AD39" s="10"/>
      <c r="AE39" s="11" t="s">
        <v>69</v>
      </c>
      <c r="AF39" s="103" t="s">
        <v>467</v>
      </c>
      <c r="AG39" s="12"/>
      <c r="AH39" s="10"/>
      <c r="AI39" s="10"/>
      <c r="AJ39" s="10"/>
      <c r="AK39" s="10"/>
      <c r="AM39" s="10"/>
      <c r="AN39" s="11" t="s">
        <v>69</v>
      </c>
      <c r="AO39" s="103" t="s">
        <v>121</v>
      </c>
      <c r="AP39" s="12"/>
      <c r="AQ39" s="10"/>
      <c r="AR39" s="10"/>
      <c r="AT39" s="10"/>
      <c r="AU39" s="11" t="s">
        <v>69</v>
      </c>
      <c r="AV39" s="103" t="s">
        <v>473</v>
      </c>
      <c r="AW39" s="12"/>
      <c r="AX39" s="10"/>
      <c r="AY39" s="10"/>
      <c r="BA39" s="10"/>
      <c r="BB39" s="11" t="s">
        <v>69</v>
      </c>
      <c r="BC39" s="103" t="s">
        <v>482</v>
      </c>
      <c r="BD39" s="12"/>
      <c r="BE39" s="10"/>
      <c r="BF39" s="12"/>
      <c r="BH39" s="10"/>
      <c r="BI39" s="11" t="s">
        <v>69</v>
      </c>
      <c r="BJ39" s="103" t="s">
        <v>489</v>
      </c>
      <c r="BK39" s="12"/>
      <c r="BL39" s="10"/>
      <c r="BM39" s="10"/>
      <c r="BN39" s="10"/>
      <c r="BO39" s="10"/>
      <c r="BQ39" s="10"/>
      <c r="BR39" s="11" t="s">
        <v>69</v>
      </c>
      <c r="BS39" s="103" t="s">
        <v>494</v>
      </c>
      <c r="BT39" s="12"/>
      <c r="BU39" s="10"/>
      <c r="BV39" s="10"/>
      <c r="BX39" s="10"/>
      <c r="BY39" s="11" t="s">
        <v>69</v>
      </c>
      <c r="BZ39" s="103" t="s">
        <v>501</v>
      </c>
      <c r="CA39" s="12"/>
      <c r="CB39" s="10"/>
      <c r="CC39" s="10"/>
      <c r="CD39" s="10"/>
      <c r="CE39" s="10"/>
      <c r="CF39" s="10"/>
      <c r="CH39" s="10"/>
      <c r="CI39" s="11" t="s">
        <v>69</v>
      </c>
      <c r="CJ39" s="103" t="s">
        <v>472</v>
      </c>
      <c r="CK39" s="12"/>
      <c r="CL39" s="10"/>
      <c r="CM39" s="10"/>
      <c r="CO39" s="34"/>
      <c r="CP39" s="35" t="s">
        <v>69</v>
      </c>
      <c r="CQ39" s="36" t="s">
        <v>496</v>
      </c>
      <c r="CR39" s="37"/>
      <c r="CS39" s="34"/>
      <c r="CT39" s="34"/>
    </row>
    <row r="40" spans="1:98">
      <c r="A40" s="10"/>
      <c r="B40" s="10">
        <v>1</v>
      </c>
      <c r="C40" s="12" t="s">
        <v>291</v>
      </c>
      <c r="D40" s="12" t="s">
        <v>124</v>
      </c>
      <c r="E40" s="12"/>
      <c r="F40" s="10"/>
      <c r="G40" s="10"/>
      <c r="H40" s="10"/>
      <c r="I40" s="10"/>
      <c r="J40" s="10"/>
      <c r="L40" s="10"/>
      <c r="M40" s="10">
        <v>1</v>
      </c>
      <c r="N40" s="12" t="s">
        <v>557</v>
      </c>
      <c r="O40" s="12" t="s">
        <v>8</v>
      </c>
      <c r="P40" s="12"/>
      <c r="Q40" s="10"/>
      <c r="R40" s="10"/>
      <c r="S40" s="10"/>
      <c r="U40" s="10"/>
      <c r="V40" s="10">
        <v>1</v>
      </c>
      <c r="W40" s="12" t="s">
        <v>6</v>
      </c>
      <c r="X40" s="12" t="s">
        <v>150</v>
      </c>
      <c r="Y40" s="12"/>
      <c r="Z40" s="12"/>
      <c r="AA40" s="12"/>
      <c r="AB40" s="10"/>
      <c r="AD40" s="10"/>
      <c r="AE40" s="10">
        <v>1</v>
      </c>
      <c r="AF40" s="12" t="s">
        <v>16</v>
      </c>
      <c r="AG40" s="12" t="s">
        <v>579</v>
      </c>
      <c r="AH40" s="12"/>
      <c r="AI40" s="10"/>
      <c r="AJ40" s="10"/>
      <c r="AK40" s="10"/>
      <c r="AM40" s="10"/>
      <c r="AN40" s="10">
        <v>1</v>
      </c>
      <c r="AO40" s="12" t="s">
        <v>19</v>
      </c>
      <c r="AP40" s="12" t="s">
        <v>156</v>
      </c>
      <c r="AQ40" s="12"/>
      <c r="AR40" s="10"/>
      <c r="AT40" s="10"/>
      <c r="AU40" s="10">
        <v>1</v>
      </c>
      <c r="AV40" s="12" t="s">
        <v>568</v>
      </c>
      <c r="AW40" s="12" t="s">
        <v>20</v>
      </c>
      <c r="AX40" s="12"/>
      <c r="AY40" s="10"/>
      <c r="BA40" s="10"/>
      <c r="BB40" s="10">
        <v>1</v>
      </c>
      <c r="BC40" s="12" t="s">
        <v>54</v>
      </c>
      <c r="BD40" s="12" t="s">
        <v>83</v>
      </c>
      <c r="BE40" s="12"/>
      <c r="BF40" s="12"/>
      <c r="BH40" s="10"/>
      <c r="BI40" s="10">
        <v>1</v>
      </c>
      <c r="BJ40" s="12" t="s">
        <v>291</v>
      </c>
      <c r="BK40" s="12" t="s">
        <v>659</v>
      </c>
      <c r="BL40" s="12"/>
      <c r="BM40" s="12"/>
      <c r="BN40" s="12"/>
      <c r="BO40" s="10"/>
      <c r="BQ40" s="10"/>
      <c r="BR40" s="10">
        <v>1</v>
      </c>
      <c r="BS40" s="12" t="s">
        <v>544</v>
      </c>
      <c r="BT40" s="12" t="s">
        <v>23</v>
      </c>
      <c r="BU40" s="12"/>
      <c r="BV40" s="10"/>
      <c r="BX40" s="10"/>
      <c r="BY40" s="10">
        <v>1</v>
      </c>
      <c r="BZ40" s="12" t="s">
        <v>92</v>
      </c>
      <c r="CA40" s="12" t="s">
        <v>48</v>
      </c>
      <c r="CB40" s="12"/>
      <c r="CC40" s="10"/>
      <c r="CD40" s="10"/>
      <c r="CE40" s="10"/>
      <c r="CF40" s="10"/>
      <c r="CH40" s="10"/>
      <c r="CI40" s="10">
        <v>1</v>
      </c>
      <c r="CJ40" s="12" t="s">
        <v>150</v>
      </c>
      <c r="CK40" s="12" t="s">
        <v>291</v>
      </c>
      <c r="CL40" s="12"/>
      <c r="CM40" s="10"/>
      <c r="CO40" s="34"/>
      <c r="CP40" s="34">
        <v>1</v>
      </c>
      <c r="CQ40" s="37" t="s">
        <v>150</v>
      </c>
      <c r="CR40" s="37" t="s">
        <v>48</v>
      </c>
      <c r="CS40" s="37"/>
      <c r="CT40" s="34"/>
    </row>
    <row r="41" spans="1:98">
      <c r="A41" s="10"/>
      <c r="B41" s="10"/>
      <c r="C41" s="12">
        <v>0</v>
      </c>
      <c r="D41" s="12">
        <v>2</v>
      </c>
      <c r="E41" s="12"/>
      <c r="F41" s="10"/>
      <c r="G41" s="10"/>
      <c r="H41" s="10"/>
      <c r="I41" s="10"/>
      <c r="J41" s="10"/>
      <c r="L41" s="10"/>
      <c r="M41" s="10"/>
      <c r="N41" s="12">
        <v>1</v>
      </c>
      <c r="O41" s="12">
        <v>0</v>
      </c>
      <c r="P41" s="12"/>
      <c r="Q41" s="10"/>
      <c r="R41" s="10"/>
      <c r="S41" s="10"/>
      <c r="U41" s="10"/>
      <c r="V41" s="10"/>
      <c r="W41" s="12">
        <v>0</v>
      </c>
      <c r="X41" s="12">
        <v>2</v>
      </c>
      <c r="Y41" s="12"/>
      <c r="Z41" s="12"/>
      <c r="AA41" s="12"/>
      <c r="AB41" s="10"/>
      <c r="AD41" s="10"/>
      <c r="AE41" s="10"/>
      <c r="AF41" s="12">
        <v>0</v>
      </c>
      <c r="AG41" s="12">
        <v>1</v>
      </c>
      <c r="AH41" s="12"/>
      <c r="AI41" s="10"/>
      <c r="AJ41" s="10"/>
      <c r="AK41" s="10"/>
      <c r="AM41" s="10"/>
      <c r="AN41" s="10"/>
      <c r="AO41" s="12">
        <v>0</v>
      </c>
      <c r="AP41" s="12">
        <v>1</v>
      </c>
      <c r="AQ41" s="12"/>
      <c r="AR41" s="10"/>
      <c r="AT41" s="10"/>
      <c r="AU41" s="10"/>
      <c r="AV41" s="12">
        <v>1</v>
      </c>
      <c r="AW41" s="12">
        <v>0</v>
      </c>
      <c r="AX41" s="12"/>
      <c r="AY41" s="10"/>
      <c r="BA41" s="10"/>
      <c r="BB41" s="10"/>
      <c r="BC41" s="12">
        <v>0</v>
      </c>
      <c r="BD41" s="12">
        <v>2</v>
      </c>
      <c r="BE41" s="12"/>
      <c r="BF41" s="12"/>
      <c r="BH41" s="10"/>
      <c r="BI41" s="10"/>
      <c r="BJ41" s="12">
        <v>0</v>
      </c>
      <c r="BK41" s="12">
        <v>1</v>
      </c>
      <c r="BL41" s="12"/>
      <c r="BM41" s="12"/>
      <c r="BN41" s="12"/>
      <c r="BO41" s="10"/>
      <c r="BQ41" s="10"/>
      <c r="BR41" s="10"/>
      <c r="BS41" s="12">
        <v>1</v>
      </c>
      <c r="BT41" s="12">
        <v>0</v>
      </c>
      <c r="BU41" s="12"/>
      <c r="BV41" s="10"/>
      <c r="BX41" s="10"/>
      <c r="BY41" s="10"/>
      <c r="BZ41" s="12">
        <v>2</v>
      </c>
      <c r="CA41" s="12">
        <v>0</v>
      </c>
      <c r="CB41" s="12"/>
      <c r="CC41" s="10"/>
      <c r="CD41" s="10"/>
      <c r="CE41" s="10"/>
      <c r="CF41" s="10"/>
      <c r="CH41" s="10"/>
      <c r="CI41" s="10"/>
      <c r="CJ41" s="12">
        <v>2</v>
      </c>
      <c r="CK41" s="12">
        <v>0</v>
      </c>
      <c r="CL41" s="12"/>
      <c r="CM41" s="10"/>
      <c r="CO41" s="34"/>
      <c r="CP41" s="34"/>
      <c r="CQ41" s="37">
        <v>2</v>
      </c>
      <c r="CR41" s="37">
        <v>0</v>
      </c>
      <c r="CS41" s="37"/>
      <c r="CT41" s="34"/>
    </row>
    <row r="42" spans="1:98">
      <c r="A42" s="10" t="s">
        <v>136</v>
      </c>
      <c r="B42" s="10">
        <v>2</v>
      </c>
      <c r="C42" s="12" t="s">
        <v>445</v>
      </c>
      <c r="D42" s="30" t="s">
        <v>4</v>
      </c>
      <c r="E42" s="12" t="s">
        <v>558</v>
      </c>
      <c r="F42" s="12" t="s">
        <v>557</v>
      </c>
      <c r="G42" s="10"/>
      <c r="H42" s="10"/>
      <c r="I42" s="10"/>
      <c r="J42" s="10"/>
      <c r="L42" s="10"/>
      <c r="M42" s="10">
        <v>2</v>
      </c>
      <c r="N42" s="12" t="s">
        <v>10</v>
      </c>
      <c r="O42" s="12" t="s">
        <v>569</v>
      </c>
      <c r="P42" s="12"/>
      <c r="Q42" s="10"/>
      <c r="R42" s="10"/>
      <c r="S42" s="10"/>
      <c r="U42" s="10"/>
      <c r="V42" s="10">
        <v>2</v>
      </c>
      <c r="W42" s="12" t="s">
        <v>579</v>
      </c>
      <c r="X42" s="12" t="s">
        <v>2</v>
      </c>
      <c r="Y42" s="12"/>
      <c r="Z42" s="12"/>
      <c r="AA42" s="12"/>
      <c r="AB42" s="10"/>
      <c r="AD42" s="10" t="s">
        <v>136</v>
      </c>
      <c r="AE42" s="10">
        <v>2</v>
      </c>
      <c r="AF42" s="12" t="s">
        <v>4</v>
      </c>
      <c r="AG42" s="30" t="s">
        <v>445</v>
      </c>
      <c r="AH42" s="12" t="s">
        <v>222</v>
      </c>
      <c r="AI42" s="12" t="s">
        <v>603</v>
      </c>
      <c r="AJ42" s="10"/>
      <c r="AK42" s="10"/>
      <c r="AM42" s="10"/>
      <c r="AN42" s="10">
        <v>2</v>
      </c>
      <c r="AO42" s="12" t="s">
        <v>150</v>
      </c>
      <c r="AP42" s="12" t="s">
        <v>57</v>
      </c>
      <c r="AQ42" s="12"/>
      <c r="AR42" s="10"/>
      <c r="AT42" s="10"/>
      <c r="AU42" s="10">
        <v>2</v>
      </c>
      <c r="AV42" s="12" t="s">
        <v>150</v>
      </c>
      <c r="AW42" s="12" t="s">
        <v>57</v>
      </c>
      <c r="AX42" s="12"/>
      <c r="AY42" s="10"/>
      <c r="BA42" s="10" t="s">
        <v>271</v>
      </c>
      <c r="BB42" s="10">
        <v>2</v>
      </c>
      <c r="BC42" s="12" t="s">
        <v>544</v>
      </c>
      <c r="BD42" s="12" t="s">
        <v>48</v>
      </c>
      <c r="BE42" s="12"/>
      <c r="BF42" s="12"/>
      <c r="BH42" s="10"/>
      <c r="BI42" s="10">
        <v>2</v>
      </c>
      <c r="BJ42" s="12" t="s">
        <v>156</v>
      </c>
      <c r="BK42" s="12" t="s">
        <v>13</v>
      </c>
      <c r="BL42" s="12"/>
      <c r="BM42" s="12"/>
      <c r="BN42" s="12"/>
      <c r="BO42" s="10"/>
      <c r="BQ42" s="10"/>
      <c r="BR42" s="10">
        <v>2</v>
      </c>
      <c r="BS42" s="12" t="s">
        <v>52</v>
      </c>
      <c r="BT42" s="12" t="s">
        <v>117</v>
      </c>
      <c r="BU42" s="12"/>
      <c r="BV42" s="10"/>
      <c r="BX42" s="10"/>
      <c r="BY42" s="10">
        <v>2</v>
      </c>
      <c r="BZ42" s="12" t="s">
        <v>558</v>
      </c>
      <c r="CA42" s="12" t="s">
        <v>56</v>
      </c>
      <c r="CB42" s="12"/>
      <c r="CC42" s="10"/>
      <c r="CD42" s="10"/>
      <c r="CE42" s="10"/>
      <c r="CF42" s="10"/>
      <c r="CH42" s="10"/>
      <c r="CI42" s="10">
        <v>2</v>
      </c>
      <c r="CJ42" s="12" t="s">
        <v>163</v>
      </c>
      <c r="CK42" s="12" t="s">
        <v>22</v>
      </c>
      <c r="CL42" s="12"/>
      <c r="CM42" s="10"/>
      <c r="CO42" s="34"/>
      <c r="CP42" s="34">
        <v>2</v>
      </c>
      <c r="CQ42" s="37" t="s">
        <v>596</v>
      </c>
      <c r="CR42" s="37" t="s">
        <v>56</v>
      </c>
      <c r="CS42" s="37"/>
      <c r="CT42" s="34"/>
    </row>
    <row r="43" spans="1:98">
      <c r="A43" s="10"/>
      <c r="B43" s="10"/>
      <c r="C43" s="12">
        <v>0</v>
      </c>
      <c r="D43" s="12">
        <v>0</v>
      </c>
      <c r="E43" s="12">
        <v>0</v>
      </c>
      <c r="F43" s="12">
        <v>1</v>
      </c>
      <c r="G43" s="10"/>
      <c r="H43" s="10"/>
      <c r="I43" s="10"/>
      <c r="J43" s="10"/>
      <c r="L43" s="10"/>
      <c r="M43" s="10"/>
      <c r="N43" s="12">
        <v>0</v>
      </c>
      <c r="O43" s="12">
        <v>2</v>
      </c>
      <c r="P43" s="12"/>
      <c r="Q43" s="10"/>
      <c r="R43" s="10"/>
      <c r="S43" s="10"/>
      <c r="U43" s="10"/>
      <c r="V43" s="10"/>
      <c r="W43" s="12">
        <v>1</v>
      </c>
      <c r="X43" s="12">
        <v>0</v>
      </c>
      <c r="Y43" s="12"/>
      <c r="Z43" s="12"/>
      <c r="AA43" s="12"/>
      <c r="AB43" s="10"/>
      <c r="AD43" s="10"/>
      <c r="AE43" s="10"/>
      <c r="AF43" s="12">
        <v>0</v>
      </c>
      <c r="AG43" s="12">
        <v>0</v>
      </c>
      <c r="AH43" s="12">
        <v>2</v>
      </c>
      <c r="AI43" s="12">
        <v>1</v>
      </c>
      <c r="AJ43" s="10"/>
      <c r="AK43" s="10"/>
      <c r="AM43" s="10"/>
      <c r="AN43" s="10"/>
      <c r="AO43" s="12">
        <v>1</v>
      </c>
      <c r="AP43" s="12">
        <v>0</v>
      </c>
      <c r="AQ43" s="12"/>
      <c r="AR43" s="10"/>
      <c r="AT43" s="10"/>
      <c r="AU43" s="10"/>
      <c r="AV43" s="12">
        <v>1</v>
      </c>
      <c r="AW43" s="12">
        <v>0</v>
      </c>
      <c r="AX43" s="12"/>
      <c r="AY43" s="10"/>
      <c r="BA43" s="10"/>
      <c r="BB43" s="10"/>
      <c r="BC43" s="12">
        <v>2</v>
      </c>
      <c r="BD43" s="12">
        <v>0</v>
      </c>
      <c r="BE43" s="12"/>
      <c r="BF43" s="12"/>
      <c r="BH43" s="10"/>
      <c r="BI43" s="10"/>
      <c r="BJ43" s="12">
        <v>3</v>
      </c>
      <c r="BK43" s="12">
        <v>0</v>
      </c>
      <c r="BL43" s="12"/>
      <c r="BM43" s="12"/>
      <c r="BN43" s="12"/>
      <c r="BO43" s="10"/>
      <c r="BQ43" s="10"/>
      <c r="BR43" s="10"/>
      <c r="BS43" s="12">
        <v>0</v>
      </c>
      <c r="BT43" s="12">
        <v>1</v>
      </c>
      <c r="BU43" s="12"/>
      <c r="BV43" s="10"/>
      <c r="BX43" s="10"/>
      <c r="BY43" s="10"/>
      <c r="BZ43" s="12">
        <v>2</v>
      </c>
      <c r="CA43" s="12">
        <v>0</v>
      </c>
      <c r="CB43" s="12"/>
      <c r="CC43" s="10"/>
      <c r="CD43" s="10"/>
      <c r="CE43" s="10"/>
      <c r="CF43" s="10"/>
      <c r="CH43" s="10"/>
      <c r="CI43" s="10"/>
      <c r="CJ43" s="12">
        <v>2</v>
      </c>
      <c r="CK43" s="12">
        <v>0</v>
      </c>
      <c r="CL43" s="12"/>
      <c r="CM43" s="10"/>
      <c r="CO43" s="34"/>
      <c r="CP43" s="34"/>
      <c r="CQ43" s="37">
        <v>1</v>
      </c>
      <c r="CR43" s="37">
        <v>0</v>
      </c>
      <c r="CS43" s="37"/>
      <c r="CT43" s="34"/>
    </row>
    <row r="44" spans="1:98">
      <c r="A44" s="10"/>
      <c r="B44" s="10">
        <v>3</v>
      </c>
      <c r="C44" s="12" t="s">
        <v>16</v>
      </c>
      <c r="D44" s="12" t="s">
        <v>560</v>
      </c>
      <c r="E44" s="10"/>
      <c r="F44" s="10"/>
      <c r="G44" s="10"/>
      <c r="H44" s="10"/>
      <c r="I44" s="10"/>
      <c r="J44" s="10"/>
      <c r="L44" s="10" t="s">
        <v>572</v>
      </c>
      <c r="M44" s="10">
        <v>3</v>
      </c>
      <c r="N44" s="12" t="s">
        <v>19</v>
      </c>
      <c r="O44" s="12" t="s">
        <v>52</v>
      </c>
      <c r="P44" s="12" t="s">
        <v>579</v>
      </c>
      <c r="Q44" s="10"/>
      <c r="R44" s="10"/>
      <c r="S44" s="10"/>
      <c r="U44" s="10"/>
      <c r="V44" s="10">
        <v>3</v>
      </c>
      <c r="W44" s="12" t="s">
        <v>156</v>
      </c>
      <c r="X44" s="12" t="s">
        <v>10</v>
      </c>
      <c r="Y44" s="10"/>
      <c r="Z44" s="10"/>
      <c r="AA44" s="10"/>
      <c r="AB44" s="10"/>
      <c r="AD44" s="10" t="s">
        <v>140</v>
      </c>
      <c r="AE44" s="10">
        <v>3</v>
      </c>
      <c r="AF44" s="12" t="s">
        <v>195</v>
      </c>
      <c r="AG44" s="12" t="s">
        <v>57</v>
      </c>
      <c r="AH44" s="10"/>
      <c r="AI44" s="10"/>
      <c r="AJ44" s="10"/>
      <c r="AK44" s="10"/>
      <c r="AM44" s="10"/>
      <c r="AN44" s="10">
        <v>3</v>
      </c>
      <c r="AO44" s="12" t="s">
        <v>10</v>
      </c>
      <c r="AP44" s="12" t="s">
        <v>586</v>
      </c>
      <c r="AQ44" s="10"/>
      <c r="AR44" s="10"/>
      <c r="AT44" s="10"/>
      <c r="AU44" s="10">
        <v>3</v>
      </c>
      <c r="AV44" s="12" t="s">
        <v>36</v>
      </c>
      <c r="AW44" s="12" t="s">
        <v>83</v>
      </c>
      <c r="AX44" s="10"/>
      <c r="AY44" s="10"/>
      <c r="BA44" s="10" t="s">
        <v>272</v>
      </c>
      <c r="BB44" s="10">
        <v>3</v>
      </c>
      <c r="BC44" s="12" t="s">
        <v>166</v>
      </c>
      <c r="BD44" s="12" t="s">
        <v>36</v>
      </c>
      <c r="BE44" s="10"/>
      <c r="BF44" s="12"/>
      <c r="BH44" s="10" t="s">
        <v>654</v>
      </c>
      <c r="BI44" s="10">
        <v>3</v>
      </c>
      <c r="BJ44" s="12" t="s">
        <v>92</v>
      </c>
      <c r="BK44" s="30" t="s">
        <v>145</v>
      </c>
      <c r="BL44" s="12" t="s">
        <v>1</v>
      </c>
      <c r="BM44" s="12" t="s">
        <v>10</v>
      </c>
      <c r="BN44" s="10"/>
      <c r="BO44" s="10"/>
      <c r="BQ44" s="10"/>
      <c r="BR44" s="10">
        <v>3</v>
      </c>
      <c r="BS44" s="12" t="s">
        <v>543</v>
      </c>
      <c r="BT44" s="12" t="s">
        <v>54</v>
      </c>
      <c r="BU44" s="10"/>
      <c r="BV44" s="10"/>
      <c r="BX44" s="10"/>
      <c r="BY44" s="10">
        <v>3</v>
      </c>
      <c r="BZ44" s="12" t="s">
        <v>40</v>
      </c>
      <c r="CA44" s="12" t="s">
        <v>70</v>
      </c>
      <c r="CB44" s="10"/>
      <c r="CC44" s="10"/>
      <c r="CD44" s="10"/>
      <c r="CE44" s="10"/>
      <c r="CF44" s="10"/>
      <c r="CH44" s="10" t="s">
        <v>136</v>
      </c>
      <c r="CI44" s="10">
        <v>3</v>
      </c>
      <c r="CJ44" s="12" t="s">
        <v>533</v>
      </c>
      <c r="CK44" s="30" t="s">
        <v>54</v>
      </c>
      <c r="CL44" s="12" t="s">
        <v>96</v>
      </c>
      <c r="CM44" s="12" t="s">
        <v>548</v>
      </c>
      <c r="CO44" s="34"/>
      <c r="CP44" s="34">
        <v>3</v>
      </c>
      <c r="CQ44" s="37" t="s">
        <v>573</v>
      </c>
      <c r="CR44" s="37" t="s">
        <v>54</v>
      </c>
      <c r="CS44" s="34"/>
      <c r="CT44" s="34"/>
    </row>
    <row r="45" spans="1:98">
      <c r="A45" s="10"/>
      <c r="B45" s="10"/>
      <c r="C45" s="12">
        <v>0</v>
      </c>
      <c r="D45" s="12">
        <v>2</v>
      </c>
      <c r="E45" s="12"/>
      <c r="F45" s="10"/>
      <c r="G45" s="10"/>
      <c r="H45" s="10"/>
      <c r="I45" s="10"/>
      <c r="J45" s="10"/>
      <c r="L45" s="10"/>
      <c r="M45" s="10"/>
      <c r="N45" s="12">
        <v>0</v>
      </c>
      <c r="O45" s="12">
        <v>0</v>
      </c>
      <c r="P45" s="12">
        <v>1</v>
      </c>
      <c r="Q45" s="10"/>
      <c r="R45" s="10"/>
      <c r="S45" s="10"/>
      <c r="U45" s="10"/>
      <c r="V45" s="10"/>
      <c r="W45" s="12">
        <v>1</v>
      </c>
      <c r="X45" s="12">
        <v>0</v>
      </c>
      <c r="Y45" s="12"/>
      <c r="Z45" s="12"/>
      <c r="AA45" s="12"/>
      <c r="AB45" s="10"/>
      <c r="AD45" s="10"/>
      <c r="AE45" s="10"/>
      <c r="AF45" s="12">
        <v>2</v>
      </c>
      <c r="AG45" s="12">
        <v>0</v>
      </c>
      <c r="AH45" s="12"/>
      <c r="AI45" s="10"/>
      <c r="AJ45" s="10"/>
      <c r="AK45" s="10"/>
      <c r="AM45" s="10"/>
      <c r="AN45" s="10"/>
      <c r="AO45" s="12">
        <v>0</v>
      </c>
      <c r="AP45" s="12">
        <v>1</v>
      </c>
      <c r="AQ45" s="12"/>
      <c r="AR45" s="10"/>
      <c r="AT45" s="10"/>
      <c r="AU45" s="10"/>
      <c r="AV45" s="12">
        <v>0</v>
      </c>
      <c r="AW45" s="12">
        <v>3</v>
      </c>
      <c r="AX45" s="12"/>
      <c r="AY45" s="10"/>
      <c r="BA45" s="10"/>
      <c r="BB45" s="10"/>
      <c r="BC45" s="12">
        <v>2</v>
      </c>
      <c r="BD45" s="12">
        <v>0</v>
      </c>
      <c r="BE45" s="12"/>
      <c r="BF45" s="12"/>
      <c r="BH45" s="10"/>
      <c r="BI45" s="10"/>
      <c r="BJ45" s="12">
        <v>1</v>
      </c>
      <c r="BK45" s="12">
        <v>1</v>
      </c>
      <c r="BL45" s="12">
        <v>0</v>
      </c>
      <c r="BM45" s="12">
        <v>0</v>
      </c>
      <c r="BN45" s="12"/>
      <c r="BO45" s="10"/>
      <c r="BQ45" s="10"/>
      <c r="BR45" s="10"/>
      <c r="BS45" s="12">
        <v>2</v>
      </c>
      <c r="BT45" s="12">
        <v>0</v>
      </c>
      <c r="BU45" s="12"/>
      <c r="BV45" s="10"/>
      <c r="BX45" s="10"/>
      <c r="BY45" s="10"/>
      <c r="BZ45" s="12">
        <v>0</v>
      </c>
      <c r="CA45" s="12">
        <v>2</v>
      </c>
      <c r="CB45" s="12"/>
      <c r="CC45" s="10"/>
      <c r="CD45" s="10"/>
      <c r="CE45" s="10"/>
      <c r="CF45" s="10"/>
      <c r="CH45" s="10"/>
      <c r="CI45" s="10"/>
      <c r="CJ45" s="12">
        <v>0</v>
      </c>
      <c r="CK45" s="12">
        <v>0</v>
      </c>
      <c r="CL45" s="12">
        <v>1</v>
      </c>
      <c r="CM45" s="12">
        <v>2</v>
      </c>
      <c r="CO45" s="34"/>
      <c r="CP45" s="34"/>
      <c r="CQ45" s="37">
        <v>1</v>
      </c>
      <c r="CR45" s="37">
        <v>0</v>
      </c>
      <c r="CS45" s="37"/>
      <c r="CT45" s="34"/>
    </row>
    <row r="46" spans="1:98">
      <c r="A46" s="10" t="s">
        <v>108</v>
      </c>
      <c r="B46" s="10">
        <v>4</v>
      </c>
      <c r="C46" s="12" t="s">
        <v>52</v>
      </c>
      <c r="D46" s="12" t="s">
        <v>543</v>
      </c>
      <c r="E46" s="12"/>
      <c r="F46" s="10"/>
      <c r="G46" s="10"/>
      <c r="H46" s="10"/>
      <c r="I46" s="10"/>
      <c r="J46" s="10"/>
      <c r="L46" s="10"/>
      <c r="M46" s="10">
        <v>4</v>
      </c>
      <c r="N46" s="12" t="s">
        <v>51</v>
      </c>
      <c r="O46" s="12" t="s">
        <v>580</v>
      </c>
      <c r="P46" s="12"/>
      <c r="Q46" s="10"/>
      <c r="R46" s="10"/>
      <c r="S46" s="10"/>
      <c r="U46" s="10" t="s">
        <v>829</v>
      </c>
      <c r="V46" s="10">
        <v>4</v>
      </c>
      <c r="W46" s="12" t="s">
        <v>166</v>
      </c>
      <c r="X46" s="12" t="s">
        <v>19</v>
      </c>
      <c r="Y46" s="12"/>
      <c r="Z46" s="12"/>
      <c r="AA46" s="12"/>
      <c r="AB46" s="10"/>
      <c r="AD46" s="10" t="s">
        <v>220</v>
      </c>
      <c r="AE46" s="10">
        <v>4</v>
      </c>
      <c r="AF46" s="12" t="s">
        <v>587</v>
      </c>
      <c r="AG46" s="12" t="s">
        <v>2</v>
      </c>
      <c r="AH46" s="12"/>
      <c r="AI46" s="10"/>
      <c r="AJ46" s="10"/>
      <c r="AK46" s="10"/>
      <c r="AM46" s="10"/>
      <c r="AN46" s="10">
        <v>4</v>
      </c>
      <c r="AO46" s="12" t="s">
        <v>569</v>
      </c>
      <c r="AP46" s="12" t="s">
        <v>531</v>
      </c>
      <c r="AQ46" s="12"/>
      <c r="AR46" s="10"/>
      <c r="AT46" s="10"/>
      <c r="AU46" s="10">
        <v>4</v>
      </c>
      <c r="AV46" s="12" t="s">
        <v>144</v>
      </c>
      <c r="AW46" s="12" t="s">
        <v>291</v>
      </c>
      <c r="AX46" s="12"/>
      <c r="AY46" s="10"/>
      <c r="BA46" s="10" t="s">
        <v>273</v>
      </c>
      <c r="BB46" s="10">
        <v>4</v>
      </c>
      <c r="BC46" s="12" t="s">
        <v>579</v>
      </c>
      <c r="BD46" s="12" t="s">
        <v>13</v>
      </c>
      <c r="BE46" s="12"/>
      <c r="BF46" s="12"/>
      <c r="BH46" s="10" t="s">
        <v>306</v>
      </c>
      <c r="BI46" s="10">
        <v>4</v>
      </c>
      <c r="BJ46" s="12" t="s">
        <v>568</v>
      </c>
      <c r="BK46" s="12" t="s">
        <v>84</v>
      </c>
      <c r="BL46" s="12"/>
      <c r="BM46" s="12"/>
      <c r="BN46" s="12"/>
      <c r="BO46" s="10"/>
      <c r="BQ46" s="10"/>
      <c r="BR46" s="10">
        <v>4</v>
      </c>
      <c r="BS46" s="12" t="s">
        <v>156</v>
      </c>
      <c r="BT46" s="12" t="s">
        <v>76</v>
      </c>
      <c r="BU46" s="12"/>
      <c r="BV46" s="10"/>
      <c r="BX46" s="10" t="s">
        <v>670</v>
      </c>
      <c r="BY46" s="10">
        <v>4</v>
      </c>
      <c r="BZ46" s="12" t="s">
        <v>84</v>
      </c>
      <c r="CA46" s="12" t="s">
        <v>83</v>
      </c>
      <c r="CB46" s="12"/>
      <c r="CC46" s="10"/>
      <c r="CD46" s="10"/>
      <c r="CE46" s="10"/>
      <c r="CF46" s="10"/>
      <c r="CH46" s="10"/>
      <c r="CI46" s="10">
        <v>4</v>
      </c>
      <c r="CJ46" s="12" t="s">
        <v>83</v>
      </c>
      <c r="CK46" s="12" t="s">
        <v>4</v>
      </c>
      <c r="CL46" s="12"/>
      <c r="CM46" s="10"/>
      <c r="CO46" s="34" t="s">
        <v>306</v>
      </c>
      <c r="CP46" s="34">
        <v>4</v>
      </c>
      <c r="CQ46" s="37" t="s">
        <v>76</v>
      </c>
      <c r="CR46" s="37" t="s">
        <v>70</v>
      </c>
      <c r="CS46" s="37"/>
      <c r="CT46" s="34"/>
    </row>
    <row r="47" spans="1:98">
      <c r="A47" s="10"/>
      <c r="B47" s="10"/>
      <c r="C47" s="12">
        <v>0</v>
      </c>
      <c r="D47" s="12">
        <v>2</v>
      </c>
      <c r="E47" s="12"/>
      <c r="F47" s="10"/>
      <c r="G47" s="10"/>
      <c r="H47" s="10"/>
      <c r="I47" s="10"/>
      <c r="J47" s="10"/>
      <c r="L47" s="10"/>
      <c r="M47" s="10"/>
      <c r="N47" s="12">
        <v>0</v>
      </c>
      <c r="O47" s="12">
        <v>1</v>
      </c>
      <c r="P47" s="12"/>
      <c r="Q47" s="10"/>
      <c r="R47" s="10"/>
      <c r="S47" s="10"/>
      <c r="U47" s="10"/>
      <c r="V47" s="10"/>
      <c r="W47" s="12">
        <v>1</v>
      </c>
      <c r="X47" s="12">
        <v>0</v>
      </c>
      <c r="Y47" s="12"/>
      <c r="Z47" s="12"/>
      <c r="AA47" s="12"/>
      <c r="AB47" s="10"/>
      <c r="AD47" s="10"/>
      <c r="AE47" s="10"/>
      <c r="AF47" s="12">
        <v>1</v>
      </c>
      <c r="AG47" s="12">
        <v>0</v>
      </c>
      <c r="AH47" s="12"/>
      <c r="AI47" s="10"/>
      <c r="AJ47" s="10"/>
      <c r="AK47" s="10"/>
      <c r="AM47" s="10"/>
      <c r="AN47" s="10"/>
      <c r="AO47" s="12">
        <v>2</v>
      </c>
      <c r="AP47" s="12">
        <v>0</v>
      </c>
      <c r="AQ47" s="12"/>
      <c r="AR47" s="10"/>
      <c r="AT47" s="10"/>
      <c r="AU47" s="10"/>
      <c r="AV47" s="12">
        <v>2</v>
      </c>
      <c r="AW47" s="12">
        <v>0</v>
      </c>
      <c r="AX47" s="12"/>
      <c r="AY47" s="10"/>
      <c r="BA47" s="10"/>
      <c r="BB47" s="10"/>
      <c r="BC47" s="12">
        <v>2</v>
      </c>
      <c r="BD47" s="12">
        <v>0</v>
      </c>
      <c r="BE47" s="12"/>
      <c r="BF47" s="12"/>
      <c r="BH47" s="10"/>
      <c r="BI47" s="10"/>
      <c r="BJ47" s="12">
        <v>1</v>
      </c>
      <c r="BK47" s="12">
        <v>0</v>
      </c>
      <c r="BL47" s="12"/>
      <c r="BM47" s="12"/>
      <c r="BN47" s="12"/>
      <c r="BO47" s="10"/>
      <c r="BQ47" s="10" t="s">
        <v>668</v>
      </c>
      <c r="BR47" s="10"/>
      <c r="BS47" s="12">
        <v>1</v>
      </c>
      <c r="BT47" s="12">
        <v>0</v>
      </c>
      <c r="BU47" s="12"/>
      <c r="BV47" s="10"/>
      <c r="BX47" s="10" t="s">
        <v>612</v>
      </c>
      <c r="BY47" s="10"/>
      <c r="BZ47" s="12">
        <v>0</v>
      </c>
      <c r="CA47" s="12">
        <v>1</v>
      </c>
      <c r="CB47" s="12"/>
      <c r="CC47" s="10"/>
      <c r="CD47" s="10"/>
      <c r="CE47" s="10"/>
      <c r="CF47" s="10"/>
      <c r="CH47" s="10"/>
      <c r="CI47" s="10"/>
      <c r="CJ47" s="12">
        <v>3</v>
      </c>
      <c r="CK47" s="12">
        <v>0</v>
      </c>
      <c r="CL47" s="12"/>
      <c r="CM47" s="10"/>
      <c r="CO47" s="34"/>
      <c r="CP47" s="34"/>
      <c r="CQ47" s="37">
        <v>0</v>
      </c>
      <c r="CR47" s="37">
        <v>1</v>
      </c>
      <c r="CS47" s="37"/>
      <c r="CT47" s="34"/>
    </row>
    <row r="48" spans="1:98">
      <c r="A48" s="10" t="s">
        <v>87</v>
      </c>
      <c r="B48" s="10">
        <v>5</v>
      </c>
      <c r="C48" s="12" t="s">
        <v>83</v>
      </c>
      <c r="D48" s="12" t="s">
        <v>2</v>
      </c>
      <c r="E48" s="12"/>
      <c r="F48" s="10"/>
      <c r="G48" s="10"/>
      <c r="H48" s="10"/>
      <c r="I48" s="10"/>
      <c r="J48" s="10"/>
      <c r="L48" s="10" t="s">
        <v>140</v>
      </c>
      <c r="M48" s="10">
        <v>5</v>
      </c>
      <c r="N48" s="12" t="s">
        <v>2</v>
      </c>
      <c r="O48" s="12" t="s">
        <v>560</v>
      </c>
      <c r="P48" s="12"/>
      <c r="Q48" s="10"/>
      <c r="R48" s="10"/>
      <c r="S48" s="10"/>
      <c r="U48" s="10" t="s">
        <v>306</v>
      </c>
      <c r="V48" s="10">
        <v>5</v>
      </c>
      <c r="W48" s="12" t="s">
        <v>542</v>
      </c>
      <c r="X48" s="12" t="s">
        <v>557</v>
      </c>
      <c r="Y48" s="12"/>
      <c r="Z48" s="12"/>
      <c r="AA48" s="12"/>
      <c r="AB48" s="10"/>
      <c r="AD48" s="10" t="s">
        <v>87</v>
      </c>
      <c r="AE48" s="10">
        <v>5</v>
      </c>
      <c r="AF48" s="12" t="s">
        <v>531</v>
      </c>
      <c r="AG48" s="12" t="s">
        <v>568</v>
      </c>
      <c r="AH48" s="12"/>
      <c r="AI48" s="10"/>
      <c r="AJ48" s="10"/>
      <c r="AK48" s="10"/>
      <c r="AM48" s="10" t="s">
        <v>139</v>
      </c>
      <c r="AN48" s="10">
        <v>5</v>
      </c>
      <c r="AO48" s="12" t="s">
        <v>8</v>
      </c>
      <c r="AP48" s="12" t="s">
        <v>195</v>
      </c>
      <c r="AQ48" s="12" t="s">
        <v>37</v>
      </c>
      <c r="AR48" s="10"/>
      <c r="AT48" s="10" t="s">
        <v>139</v>
      </c>
      <c r="AU48" s="10">
        <v>5</v>
      </c>
      <c r="AV48" s="12" t="s">
        <v>195</v>
      </c>
      <c r="AW48" s="12" t="s">
        <v>84</v>
      </c>
      <c r="AX48" s="12"/>
      <c r="AY48" s="10"/>
      <c r="BA48" s="10" t="s">
        <v>275</v>
      </c>
      <c r="BB48" s="10">
        <v>5</v>
      </c>
      <c r="BC48" s="12" t="s">
        <v>38</v>
      </c>
      <c r="BD48" s="12" t="s">
        <v>45</v>
      </c>
      <c r="BE48" s="12" t="s">
        <v>568</v>
      </c>
      <c r="BF48" s="12"/>
      <c r="BH48" s="10" t="s">
        <v>306</v>
      </c>
      <c r="BI48" s="10">
        <v>5</v>
      </c>
      <c r="BJ48" s="12" t="s">
        <v>49</v>
      </c>
      <c r="BK48" s="12" t="s">
        <v>195</v>
      </c>
      <c r="BL48" s="12"/>
      <c r="BM48" s="12"/>
      <c r="BN48" s="12"/>
      <c r="BO48" s="10"/>
      <c r="BQ48" s="10" t="s">
        <v>666</v>
      </c>
      <c r="BR48" s="10">
        <v>5</v>
      </c>
      <c r="BS48" s="12" t="s">
        <v>47</v>
      </c>
      <c r="BT48" s="12" t="s">
        <v>83</v>
      </c>
      <c r="BU48" s="12"/>
      <c r="BV48" s="10"/>
      <c r="BX48" s="10" t="s">
        <v>87</v>
      </c>
      <c r="BY48" s="10">
        <v>5</v>
      </c>
      <c r="BZ48" s="12" t="s">
        <v>156</v>
      </c>
      <c r="CA48" s="12" t="s">
        <v>38</v>
      </c>
      <c r="CB48" s="12"/>
      <c r="CC48" s="10"/>
      <c r="CD48" s="10"/>
      <c r="CE48" s="10"/>
      <c r="CF48" s="10"/>
      <c r="CH48" s="10" t="s">
        <v>87</v>
      </c>
      <c r="CI48" s="10">
        <v>5</v>
      </c>
      <c r="CJ48" s="12" t="s">
        <v>542</v>
      </c>
      <c r="CK48" s="12" t="s">
        <v>144</v>
      </c>
      <c r="CL48" s="12"/>
      <c r="CM48" s="10"/>
      <c r="CO48" s="34" t="s">
        <v>306</v>
      </c>
      <c r="CP48" s="34">
        <v>5</v>
      </c>
      <c r="CQ48" s="37" t="s">
        <v>83</v>
      </c>
      <c r="CR48" s="37" t="s">
        <v>49</v>
      </c>
      <c r="CS48" s="37"/>
      <c r="CT48" s="34"/>
    </row>
    <row r="49" spans="1:98">
      <c r="A49" s="10"/>
      <c r="B49" s="10"/>
      <c r="C49" s="12">
        <v>1</v>
      </c>
      <c r="D49" s="12">
        <v>0</v>
      </c>
      <c r="E49" s="12"/>
      <c r="F49" s="10"/>
      <c r="G49" s="10"/>
      <c r="H49" s="10"/>
      <c r="I49" s="10"/>
      <c r="J49" s="10"/>
      <c r="L49" s="10"/>
      <c r="M49" s="10"/>
      <c r="N49" s="12">
        <v>0</v>
      </c>
      <c r="O49" s="12">
        <v>1</v>
      </c>
      <c r="P49" s="12"/>
      <c r="Q49" s="10"/>
      <c r="R49" s="10"/>
      <c r="S49" s="10"/>
      <c r="U49" s="10"/>
      <c r="V49" s="10"/>
      <c r="W49" s="12">
        <v>0</v>
      </c>
      <c r="X49" s="12">
        <v>1</v>
      </c>
      <c r="Y49" s="12"/>
      <c r="Z49" s="12"/>
      <c r="AA49" s="12"/>
      <c r="AB49" s="10"/>
      <c r="AD49" s="10"/>
      <c r="AE49" s="10"/>
      <c r="AF49" s="12">
        <v>0</v>
      </c>
      <c r="AG49" s="12">
        <v>1</v>
      </c>
      <c r="AH49" s="12"/>
      <c r="AI49" s="10"/>
      <c r="AJ49" s="10"/>
      <c r="AK49" s="10"/>
      <c r="AM49" s="10"/>
      <c r="AN49" s="10"/>
      <c r="AO49" s="12">
        <v>-2</v>
      </c>
      <c r="AP49" s="12">
        <v>2</v>
      </c>
      <c r="AQ49" s="12">
        <v>0</v>
      </c>
      <c r="AR49" s="10"/>
      <c r="AT49" s="10"/>
      <c r="AU49" s="10"/>
      <c r="AV49" s="12">
        <v>2</v>
      </c>
      <c r="AW49" s="12">
        <v>-2</v>
      </c>
      <c r="AX49" s="12"/>
      <c r="AY49" s="10"/>
      <c r="BA49" s="10"/>
      <c r="BB49" s="10"/>
      <c r="BC49" s="12">
        <v>0</v>
      </c>
      <c r="BD49" s="12">
        <v>0</v>
      </c>
      <c r="BE49" s="12">
        <v>2</v>
      </c>
      <c r="BF49" s="12"/>
      <c r="BH49" s="10"/>
      <c r="BI49" s="10"/>
      <c r="BJ49" s="12">
        <v>0</v>
      </c>
      <c r="BK49" s="12">
        <v>1</v>
      </c>
      <c r="BL49" s="12"/>
      <c r="BM49" s="12"/>
      <c r="BN49" s="12"/>
      <c r="BO49" s="10"/>
      <c r="BQ49" s="10"/>
      <c r="BR49" s="10"/>
      <c r="BS49" s="12">
        <v>0</v>
      </c>
      <c r="BT49" s="12">
        <v>1</v>
      </c>
      <c r="BU49" s="12"/>
      <c r="BV49" s="10"/>
      <c r="BX49" s="10" t="s">
        <v>672</v>
      </c>
      <c r="BY49" s="10"/>
      <c r="BZ49" s="12">
        <v>1</v>
      </c>
      <c r="CA49" s="12">
        <v>0</v>
      </c>
      <c r="CB49" s="12"/>
      <c r="CC49" s="10"/>
      <c r="CD49" s="10"/>
      <c r="CE49" s="10"/>
      <c r="CF49" s="10"/>
      <c r="CH49" s="10"/>
      <c r="CI49" s="10"/>
      <c r="CJ49" s="12">
        <v>0</v>
      </c>
      <c r="CK49" s="12">
        <v>1</v>
      </c>
      <c r="CL49" s="12"/>
      <c r="CM49" s="10"/>
      <c r="CO49" s="34"/>
      <c r="CP49" s="34"/>
      <c r="CQ49" s="37">
        <v>2</v>
      </c>
      <c r="CR49" s="37">
        <v>0</v>
      </c>
      <c r="CS49" s="37"/>
      <c r="CT49" s="34"/>
    </row>
    <row r="50" spans="1:98">
      <c r="C50" s="6"/>
      <c r="D50" s="6"/>
      <c r="N50" s="6"/>
      <c r="O50" s="6"/>
      <c r="W50" s="6"/>
      <c r="X50" s="6"/>
      <c r="AF50" s="6"/>
      <c r="AG50" s="6"/>
      <c r="AO50" s="6"/>
      <c r="AP50" s="6"/>
      <c r="AV50" s="6"/>
      <c r="AW50" s="6"/>
      <c r="BC50" s="6"/>
      <c r="BD50" s="6"/>
      <c r="BJ50" s="6"/>
      <c r="BK50" s="6"/>
      <c r="BS50" s="6"/>
      <c r="BT50" s="6"/>
      <c r="BZ50" s="6"/>
      <c r="CA50" s="6"/>
      <c r="CJ50" s="6"/>
      <c r="CK50" s="6"/>
      <c r="CO50" s="32"/>
      <c r="CP50" s="32"/>
      <c r="CQ50" s="33"/>
      <c r="CR50" s="33"/>
      <c r="CS50" s="32"/>
      <c r="CT50" s="32"/>
    </row>
    <row r="51" spans="1:98" ht="21">
      <c r="A51" s="7"/>
      <c r="B51" s="8" t="s">
        <v>73</v>
      </c>
      <c r="C51" s="104" t="s">
        <v>454</v>
      </c>
      <c r="D51" s="9"/>
      <c r="E51" s="7"/>
      <c r="F51" s="7"/>
      <c r="G51" s="7"/>
      <c r="H51" s="7"/>
      <c r="I51" s="7"/>
      <c r="J51" s="7"/>
      <c r="L51" s="7"/>
      <c r="M51" s="8" t="s">
        <v>73</v>
      </c>
      <c r="N51" s="104" t="s">
        <v>460</v>
      </c>
      <c r="O51" s="9"/>
      <c r="P51" s="7"/>
      <c r="Q51" s="7"/>
      <c r="R51" s="7"/>
      <c r="S51" s="7"/>
      <c r="U51" s="7"/>
      <c r="V51" s="8" t="s">
        <v>73</v>
      </c>
      <c r="W51" s="104" t="s">
        <v>257</v>
      </c>
      <c r="X51" s="9"/>
      <c r="Y51" s="7"/>
      <c r="Z51" s="7"/>
      <c r="AA51" s="7"/>
      <c r="AB51" s="7"/>
      <c r="AD51" s="7"/>
      <c r="AE51" s="8" t="s">
        <v>73</v>
      </c>
      <c r="AF51" s="104" t="s">
        <v>165</v>
      </c>
      <c r="AG51" s="9"/>
      <c r="AH51" s="7"/>
      <c r="AI51" s="7"/>
      <c r="AJ51" s="7"/>
      <c r="AK51" s="7"/>
      <c r="AM51" s="7"/>
      <c r="AN51" s="8" t="s">
        <v>73</v>
      </c>
      <c r="AO51" s="104" t="s">
        <v>159</v>
      </c>
      <c r="AP51" s="9"/>
      <c r="AQ51" s="7"/>
      <c r="AR51" s="7"/>
      <c r="AT51" s="7"/>
      <c r="AU51" s="8" t="s">
        <v>73</v>
      </c>
      <c r="AV51" s="104" t="s">
        <v>474</v>
      </c>
      <c r="AW51" s="9"/>
      <c r="AX51" s="7"/>
      <c r="AY51" s="7"/>
      <c r="BA51" s="7"/>
      <c r="BB51" s="8" t="s">
        <v>73</v>
      </c>
      <c r="BC51" s="104" t="s">
        <v>483</v>
      </c>
      <c r="BD51" s="9"/>
      <c r="BE51" s="7"/>
      <c r="BF51" s="9"/>
      <c r="BH51" s="7"/>
      <c r="BI51" s="8" t="s">
        <v>73</v>
      </c>
      <c r="BJ51" s="28" t="s">
        <v>215</v>
      </c>
      <c r="BK51" s="9"/>
      <c r="BL51" s="7"/>
      <c r="BM51" s="7"/>
      <c r="BN51" s="7"/>
      <c r="BO51" s="7"/>
      <c r="BQ51" s="7"/>
      <c r="BR51" s="8" t="s">
        <v>73</v>
      </c>
      <c r="BS51" s="104" t="s">
        <v>495</v>
      </c>
      <c r="BT51" s="9"/>
      <c r="BU51" s="7"/>
      <c r="BV51" s="7"/>
      <c r="BX51" s="7"/>
      <c r="BY51" s="8" t="s">
        <v>73</v>
      </c>
      <c r="BZ51" s="104" t="s">
        <v>502</v>
      </c>
      <c r="CA51" s="9"/>
      <c r="CB51" s="7"/>
      <c r="CC51" s="7"/>
      <c r="CD51" s="7"/>
      <c r="CE51" s="7"/>
      <c r="CF51" s="7"/>
      <c r="CH51" s="7"/>
      <c r="CI51" s="8" t="s">
        <v>73</v>
      </c>
      <c r="CJ51" s="104" t="s">
        <v>152</v>
      </c>
      <c r="CK51" s="9"/>
      <c r="CL51" s="7"/>
      <c r="CM51" s="7" t="s">
        <v>878</v>
      </c>
      <c r="CO51" s="38"/>
      <c r="CP51" s="39" t="s">
        <v>189</v>
      </c>
      <c r="CQ51" s="83" t="s">
        <v>535</v>
      </c>
      <c r="CR51" s="41"/>
      <c r="CS51" s="38"/>
      <c r="CT51" s="38"/>
    </row>
    <row r="52" spans="1:98">
      <c r="A52" s="7"/>
      <c r="B52" s="7">
        <v>1</v>
      </c>
      <c r="C52" s="9" t="s">
        <v>169</v>
      </c>
      <c r="D52" s="9" t="s">
        <v>40</v>
      </c>
      <c r="E52" s="9"/>
      <c r="F52" s="7"/>
      <c r="G52" s="7"/>
      <c r="H52" s="7"/>
      <c r="I52" s="7"/>
      <c r="J52" s="7"/>
      <c r="L52" s="7"/>
      <c r="M52" s="7">
        <v>1</v>
      </c>
      <c r="N52" s="9" t="s">
        <v>147</v>
      </c>
      <c r="O52" s="9" t="s">
        <v>13</v>
      </c>
      <c r="P52" s="9"/>
      <c r="Q52" s="7"/>
      <c r="R52" s="7"/>
      <c r="S52" s="7"/>
      <c r="U52" s="7"/>
      <c r="V52" s="7">
        <v>1</v>
      </c>
      <c r="W52" s="9" t="s">
        <v>9</v>
      </c>
      <c r="X52" s="9" t="s">
        <v>588</v>
      </c>
      <c r="Y52" s="9"/>
      <c r="Z52" s="9"/>
      <c r="AA52" s="9"/>
      <c r="AB52" s="7"/>
      <c r="AD52" s="7"/>
      <c r="AE52" s="7">
        <v>1</v>
      </c>
      <c r="AF52" s="9" t="s">
        <v>589</v>
      </c>
      <c r="AG52" s="9" t="s">
        <v>15</v>
      </c>
      <c r="AH52" s="9"/>
      <c r="AI52" s="7"/>
      <c r="AJ52" s="7"/>
      <c r="AK52" s="7"/>
      <c r="AM52" s="7"/>
      <c r="AN52" s="7">
        <v>1</v>
      </c>
      <c r="AO52" s="9" t="s">
        <v>92</v>
      </c>
      <c r="AP52" s="9" t="s">
        <v>9</v>
      </c>
      <c r="AQ52" s="9"/>
      <c r="AR52" s="7"/>
      <c r="AT52" s="7"/>
      <c r="AU52" s="7">
        <v>1</v>
      </c>
      <c r="AV52" s="9" t="s">
        <v>567</v>
      </c>
      <c r="AW52" s="9" t="s">
        <v>531</v>
      </c>
      <c r="AX52" s="9"/>
      <c r="AY52" s="7"/>
      <c r="BA52" s="7"/>
      <c r="BB52" s="7">
        <v>1</v>
      </c>
      <c r="BC52" s="9" t="s">
        <v>549</v>
      </c>
      <c r="BD52" s="9" t="s">
        <v>2</v>
      </c>
      <c r="BE52" s="9"/>
      <c r="BF52" s="9"/>
      <c r="BH52" s="7"/>
      <c r="BI52" s="7">
        <v>1</v>
      </c>
      <c r="BJ52" s="9" t="s">
        <v>647</v>
      </c>
      <c r="BK52" s="9" t="s">
        <v>62</v>
      </c>
      <c r="BL52" s="9"/>
      <c r="BM52" s="9"/>
      <c r="BN52" s="9"/>
      <c r="BO52" s="7"/>
      <c r="BQ52" s="7"/>
      <c r="BR52" s="7">
        <v>1</v>
      </c>
      <c r="BS52" s="9" t="s">
        <v>62</v>
      </c>
      <c r="BT52" s="9" t="s">
        <v>561</v>
      </c>
      <c r="BU52" s="7"/>
      <c r="BV52" s="7"/>
      <c r="BX52" s="7"/>
      <c r="BY52" s="7">
        <v>1</v>
      </c>
      <c r="BZ52" s="9" t="s">
        <v>545</v>
      </c>
      <c r="CA52" s="9" t="s">
        <v>15</v>
      </c>
      <c r="CB52" s="9"/>
      <c r="CC52" s="7"/>
      <c r="CD52" s="7"/>
      <c r="CE52" s="7"/>
      <c r="CF52" s="7"/>
      <c r="CH52" s="7"/>
      <c r="CI52" s="7">
        <v>1</v>
      </c>
      <c r="CJ52" s="9" t="s">
        <v>124</v>
      </c>
      <c r="CK52" s="9" t="s">
        <v>1</v>
      </c>
      <c r="CL52" s="9"/>
      <c r="CM52" s="7"/>
      <c r="CO52" s="38"/>
      <c r="CP52" s="38">
        <v>1</v>
      </c>
      <c r="CQ52" s="41" t="s">
        <v>546</v>
      </c>
      <c r="CR52" s="41" t="s">
        <v>58</v>
      </c>
      <c r="CS52" s="41"/>
      <c r="CT52" s="38"/>
    </row>
    <row r="53" spans="1:98">
      <c r="A53" s="7"/>
      <c r="B53" s="7"/>
      <c r="C53" s="9">
        <v>1</v>
      </c>
      <c r="D53" s="9">
        <v>0</v>
      </c>
      <c r="E53" s="9"/>
      <c r="F53" s="7"/>
      <c r="G53" s="7"/>
      <c r="H53" s="7"/>
      <c r="I53" s="7"/>
      <c r="J53" s="7"/>
      <c r="L53" s="7"/>
      <c r="M53" s="7"/>
      <c r="N53" s="9">
        <v>1</v>
      </c>
      <c r="O53" s="9">
        <v>0</v>
      </c>
      <c r="P53" s="9"/>
      <c r="Q53" s="7"/>
      <c r="R53" s="7"/>
      <c r="S53" s="7"/>
      <c r="U53" s="7"/>
      <c r="V53" s="7"/>
      <c r="W53" s="9">
        <v>0</v>
      </c>
      <c r="X53" s="9">
        <v>3</v>
      </c>
      <c r="Y53" s="9"/>
      <c r="Z53" s="9"/>
      <c r="AA53" s="9"/>
      <c r="AB53" s="7"/>
      <c r="AD53" s="7"/>
      <c r="AE53" s="7"/>
      <c r="AF53" s="9">
        <v>3</v>
      </c>
      <c r="AG53" s="9">
        <v>0</v>
      </c>
      <c r="AH53" s="9"/>
      <c r="AI53" s="7"/>
      <c r="AJ53" s="7"/>
      <c r="AK53" s="7"/>
      <c r="AM53" s="7"/>
      <c r="AN53" s="7"/>
      <c r="AO53" s="9">
        <v>2</v>
      </c>
      <c r="AP53" s="9">
        <v>0</v>
      </c>
      <c r="AQ53" s="9"/>
      <c r="AR53" s="7"/>
      <c r="AT53" s="7"/>
      <c r="AU53" s="7"/>
      <c r="AV53" s="9">
        <v>3</v>
      </c>
      <c r="AW53" s="9">
        <v>0</v>
      </c>
      <c r="AX53" s="9"/>
      <c r="AY53" s="7"/>
      <c r="BA53" s="7"/>
      <c r="BB53" s="7"/>
      <c r="BC53" s="9">
        <v>3</v>
      </c>
      <c r="BD53" s="9">
        <v>0</v>
      </c>
      <c r="BE53" s="9"/>
      <c r="BF53" s="9"/>
      <c r="BH53" s="7"/>
      <c r="BI53" s="7"/>
      <c r="BJ53" s="9">
        <v>2</v>
      </c>
      <c r="BK53" s="9">
        <v>0</v>
      </c>
      <c r="BL53" s="9"/>
      <c r="BM53" s="9"/>
      <c r="BN53" s="9"/>
      <c r="BO53" s="7"/>
      <c r="BQ53" s="7"/>
      <c r="BR53" s="7"/>
      <c r="BS53" s="9">
        <v>0</v>
      </c>
      <c r="BT53" s="9">
        <v>3</v>
      </c>
      <c r="BU53" s="7"/>
      <c r="BV53" s="7"/>
      <c r="BX53" s="7"/>
      <c r="BY53" s="7"/>
      <c r="BZ53" s="9">
        <v>2</v>
      </c>
      <c r="CA53" s="9">
        <v>0</v>
      </c>
      <c r="CB53" s="9"/>
      <c r="CC53" s="7"/>
      <c r="CD53" s="7"/>
      <c r="CE53" s="7"/>
      <c r="CF53" s="7"/>
      <c r="CH53" s="7"/>
      <c r="CI53" s="7"/>
      <c r="CJ53" s="9">
        <v>3</v>
      </c>
      <c r="CK53" s="9">
        <v>0</v>
      </c>
      <c r="CL53" s="9"/>
      <c r="CM53" s="7"/>
      <c r="CO53" s="38"/>
      <c r="CP53" s="38"/>
      <c r="CQ53" s="41">
        <v>3</v>
      </c>
      <c r="CR53" s="41">
        <v>0</v>
      </c>
      <c r="CS53" s="41"/>
      <c r="CT53" s="38"/>
    </row>
    <row r="54" spans="1:98">
      <c r="A54" s="7"/>
      <c r="B54" s="7">
        <v>2</v>
      </c>
      <c r="C54" s="9" t="s">
        <v>15</v>
      </c>
      <c r="D54" s="9" t="s">
        <v>21</v>
      </c>
      <c r="E54" s="9" t="s">
        <v>561</v>
      </c>
      <c r="F54" s="7"/>
      <c r="G54" s="7"/>
      <c r="H54" s="7"/>
      <c r="I54" s="7"/>
      <c r="J54" s="7"/>
      <c r="L54" s="7" t="s">
        <v>136</v>
      </c>
      <c r="M54" s="7">
        <v>2</v>
      </c>
      <c r="N54" s="9" t="s">
        <v>75</v>
      </c>
      <c r="O54" s="23" t="s">
        <v>112</v>
      </c>
      <c r="P54" s="9" t="s">
        <v>446</v>
      </c>
      <c r="Q54" s="9" t="s">
        <v>1</v>
      </c>
      <c r="R54" s="7"/>
      <c r="S54" s="7"/>
      <c r="U54" s="7"/>
      <c r="V54" s="7">
        <v>2</v>
      </c>
      <c r="W54" s="9" t="s">
        <v>142</v>
      </c>
      <c r="X54" s="9" t="s">
        <v>17</v>
      </c>
      <c r="Y54" s="9"/>
      <c r="Z54" s="9"/>
      <c r="AA54" s="9"/>
      <c r="AB54" s="7"/>
      <c r="AD54" s="7" t="s">
        <v>220</v>
      </c>
      <c r="AE54" s="7">
        <v>2</v>
      </c>
      <c r="AF54" s="9" t="s">
        <v>547</v>
      </c>
      <c r="AG54" s="9" t="s">
        <v>13</v>
      </c>
      <c r="AH54" s="9"/>
      <c r="AI54" s="7"/>
      <c r="AJ54" s="7"/>
      <c r="AK54" s="7"/>
      <c r="AM54" s="7"/>
      <c r="AN54" s="7">
        <v>2</v>
      </c>
      <c r="AO54" s="9" t="s">
        <v>122</v>
      </c>
      <c r="AP54" s="9" t="s">
        <v>290</v>
      </c>
      <c r="AQ54" s="9"/>
      <c r="AR54" s="7"/>
      <c r="AT54" s="7"/>
      <c r="AU54" s="7">
        <v>2</v>
      </c>
      <c r="AV54" s="9" t="s">
        <v>10</v>
      </c>
      <c r="AW54" s="9" t="s">
        <v>169</v>
      </c>
      <c r="AX54" s="9"/>
      <c r="AY54" s="7"/>
      <c r="BA54" s="7" t="s">
        <v>271</v>
      </c>
      <c r="BB54" s="7">
        <v>2</v>
      </c>
      <c r="BC54" s="9" t="s">
        <v>567</v>
      </c>
      <c r="BD54" s="9" t="s">
        <v>531</v>
      </c>
      <c r="BE54" s="9"/>
      <c r="BF54" s="9"/>
      <c r="BH54" s="7"/>
      <c r="BI54" s="7">
        <v>2</v>
      </c>
      <c r="BJ54" s="9" t="s">
        <v>10</v>
      </c>
      <c r="BK54" s="9" t="s">
        <v>561</v>
      </c>
      <c r="BL54" s="9"/>
      <c r="BM54" s="9"/>
      <c r="BN54" s="9"/>
      <c r="BO54" s="7"/>
      <c r="BQ54" s="7"/>
      <c r="BR54" s="7">
        <v>2</v>
      </c>
      <c r="BS54" s="9" t="s">
        <v>88</v>
      </c>
      <c r="BT54" s="9" t="s">
        <v>531</v>
      </c>
      <c r="BU54" s="7"/>
      <c r="BV54" s="7"/>
      <c r="BX54" s="7"/>
      <c r="BY54" s="7">
        <v>2</v>
      </c>
      <c r="BZ54" s="9" t="s">
        <v>577</v>
      </c>
      <c r="CA54" s="9" t="s">
        <v>531</v>
      </c>
      <c r="CB54" s="9"/>
      <c r="CC54" s="7"/>
      <c r="CD54" s="7"/>
      <c r="CE54" s="7"/>
      <c r="CF54" s="7"/>
      <c r="CH54" s="7"/>
      <c r="CI54" s="7">
        <v>2</v>
      </c>
      <c r="CJ54" s="9" t="s">
        <v>62</v>
      </c>
      <c r="CK54" s="9" t="s">
        <v>147</v>
      </c>
      <c r="CL54" s="9"/>
      <c r="CM54" s="7"/>
      <c r="CO54" s="38"/>
      <c r="CP54" s="38">
        <v>2</v>
      </c>
      <c r="CQ54" s="41" t="s">
        <v>88</v>
      </c>
      <c r="CR54" s="41" t="s">
        <v>39</v>
      </c>
      <c r="CS54" s="41"/>
      <c r="CT54" s="38"/>
    </row>
    <row r="55" spans="1:98">
      <c r="A55" s="7"/>
      <c r="B55" s="7"/>
      <c r="C55" s="9">
        <v>0</v>
      </c>
      <c r="D55" s="9">
        <v>0</v>
      </c>
      <c r="E55" s="9">
        <v>2</v>
      </c>
      <c r="F55" s="7"/>
      <c r="G55" s="7"/>
      <c r="H55" s="7"/>
      <c r="I55" s="7"/>
      <c r="J55" s="7"/>
      <c r="L55" s="7"/>
      <c r="M55" s="7"/>
      <c r="N55" s="9">
        <v>2</v>
      </c>
      <c r="O55" s="9">
        <v>1</v>
      </c>
      <c r="P55" s="9">
        <v>0</v>
      </c>
      <c r="Q55" s="9">
        <v>0</v>
      </c>
      <c r="R55" s="7"/>
      <c r="S55" s="7"/>
      <c r="U55" s="7"/>
      <c r="V55" s="7"/>
      <c r="W55" s="9">
        <v>2</v>
      </c>
      <c r="X55" s="9">
        <v>0</v>
      </c>
      <c r="Y55" s="9"/>
      <c r="Z55" s="9"/>
      <c r="AA55" s="9"/>
      <c r="AB55" s="7"/>
      <c r="AD55" s="7"/>
      <c r="AE55" s="7"/>
      <c r="AF55" s="9">
        <v>2</v>
      </c>
      <c r="AG55" s="9">
        <v>0</v>
      </c>
      <c r="AH55" s="9"/>
      <c r="AI55" s="7"/>
      <c r="AJ55" s="7"/>
      <c r="AK55" s="7"/>
      <c r="AM55" s="7"/>
      <c r="AN55" s="7"/>
      <c r="AO55" s="9">
        <v>2</v>
      </c>
      <c r="AP55" s="9">
        <v>0</v>
      </c>
      <c r="AQ55" s="9"/>
      <c r="AR55" s="7"/>
      <c r="AT55" s="7"/>
      <c r="AU55" s="7"/>
      <c r="AV55" s="9">
        <v>0</v>
      </c>
      <c r="AW55" s="9">
        <v>1</v>
      </c>
      <c r="AX55" s="9"/>
      <c r="AY55" s="7"/>
      <c r="BA55" s="7"/>
      <c r="BB55" s="7"/>
      <c r="BC55" s="9">
        <v>1</v>
      </c>
      <c r="BD55" s="9">
        <v>0</v>
      </c>
      <c r="BE55" s="9"/>
      <c r="BF55" s="9"/>
      <c r="BH55" s="7"/>
      <c r="BI55" s="7"/>
      <c r="BJ55" s="9">
        <v>0</v>
      </c>
      <c r="BK55" s="9">
        <v>2</v>
      </c>
      <c r="BL55" s="9"/>
      <c r="BM55" s="9"/>
      <c r="BN55" s="9"/>
      <c r="BO55" s="7"/>
      <c r="BQ55" s="7"/>
      <c r="BR55" s="7"/>
      <c r="BS55" s="9">
        <v>2</v>
      </c>
      <c r="BT55" s="9">
        <v>0</v>
      </c>
      <c r="BU55" s="7"/>
      <c r="BV55" s="7"/>
      <c r="BX55" s="7"/>
      <c r="BY55" s="7"/>
      <c r="BZ55" s="9">
        <v>2</v>
      </c>
      <c r="CA55" s="9">
        <v>0</v>
      </c>
      <c r="CB55" s="9"/>
      <c r="CC55" s="7"/>
      <c r="CD55" s="7"/>
      <c r="CE55" s="7"/>
      <c r="CF55" s="7"/>
      <c r="CH55" s="7"/>
      <c r="CI55" s="7"/>
      <c r="CJ55" s="9">
        <v>0</v>
      </c>
      <c r="CK55" s="9">
        <v>3</v>
      </c>
      <c r="CL55" s="9"/>
      <c r="CM55" s="7"/>
      <c r="CO55" s="38"/>
      <c r="CP55" s="38"/>
      <c r="CQ55" s="41">
        <v>3</v>
      </c>
      <c r="CR55" s="41">
        <v>0</v>
      </c>
      <c r="CS55" s="41"/>
      <c r="CT55" s="38"/>
    </row>
    <row r="56" spans="1:98">
      <c r="A56" s="7" t="s">
        <v>200</v>
      </c>
      <c r="B56" s="7">
        <v>3</v>
      </c>
      <c r="C56" s="9" t="s">
        <v>290</v>
      </c>
      <c r="D56" s="9" t="s">
        <v>88</v>
      </c>
      <c r="E56" s="7"/>
      <c r="F56" s="7"/>
      <c r="G56" s="7"/>
      <c r="H56" s="7"/>
      <c r="I56" s="7"/>
      <c r="J56" s="7"/>
      <c r="L56" s="7" t="s">
        <v>200</v>
      </c>
      <c r="M56" s="7">
        <v>3</v>
      </c>
      <c r="N56" s="9" t="s">
        <v>40</v>
      </c>
      <c r="O56" s="9" t="s">
        <v>547</v>
      </c>
      <c r="P56" s="7"/>
      <c r="Q56" s="7"/>
      <c r="R56" s="7"/>
      <c r="S56" s="7"/>
      <c r="U56" s="7"/>
      <c r="V56" s="7">
        <v>3</v>
      </c>
      <c r="W56" s="9" t="s">
        <v>547</v>
      </c>
      <c r="X56" s="9" t="s">
        <v>326</v>
      </c>
      <c r="Y56" s="7"/>
      <c r="Z56" s="7"/>
      <c r="AA56" s="7"/>
      <c r="AB56" s="7"/>
      <c r="AD56" s="7"/>
      <c r="AE56" s="7">
        <v>3</v>
      </c>
      <c r="AF56" s="9" t="s">
        <v>40</v>
      </c>
      <c r="AG56" s="9" t="s">
        <v>88</v>
      </c>
      <c r="AH56" s="7"/>
      <c r="AI56" s="7"/>
      <c r="AJ56" s="7"/>
      <c r="AK56" s="7"/>
      <c r="AM56" s="7" t="s">
        <v>136</v>
      </c>
      <c r="AN56" s="7">
        <v>3</v>
      </c>
      <c r="AO56" s="9" t="s">
        <v>118</v>
      </c>
      <c r="AP56" s="23" t="s">
        <v>596</v>
      </c>
      <c r="AQ56" s="9" t="s">
        <v>78</v>
      </c>
      <c r="AR56" s="9" t="s">
        <v>12</v>
      </c>
      <c r="AT56" s="7"/>
      <c r="AU56" s="7">
        <v>3</v>
      </c>
      <c r="AV56" s="9" t="s">
        <v>561</v>
      </c>
      <c r="AW56" s="9" t="s">
        <v>2</v>
      </c>
      <c r="AX56" s="7"/>
      <c r="AY56" s="7"/>
      <c r="BA56" s="7" t="s">
        <v>272</v>
      </c>
      <c r="BB56" s="7">
        <v>3</v>
      </c>
      <c r="BC56" s="9" t="s">
        <v>39</v>
      </c>
      <c r="BD56" s="9" t="s">
        <v>546</v>
      </c>
      <c r="BE56" s="7"/>
      <c r="BF56" s="9"/>
      <c r="BH56" s="7" t="s">
        <v>654</v>
      </c>
      <c r="BI56" s="7">
        <v>3</v>
      </c>
      <c r="BJ56" s="9" t="s">
        <v>72</v>
      </c>
      <c r="BK56" s="23" t="s">
        <v>81</v>
      </c>
      <c r="BL56" s="9" t="s">
        <v>2</v>
      </c>
      <c r="BM56" s="9" t="s">
        <v>531</v>
      </c>
      <c r="BN56" s="7"/>
      <c r="BO56" s="7"/>
      <c r="BQ56" s="7" t="s">
        <v>136</v>
      </c>
      <c r="BR56" s="7">
        <v>3</v>
      </c>
      <c r="BS56" s="9" t="s">
        <v>82</v>
      </c>
      <c r="BT56" s="23" t="s">
        <v>37</v>
      </c>
      <c r="BU56" s="9" t="s">
        <v>543</v>
      </c>
      <c r="BV56" s="9" t="s">
        <v>568</v>
      </c>
      <c r="BX56" s="7"/>
      <c r="BY56" s="7">
        <v>3</v>
      </c>
      <c r="BZ56" s="9" t="s">
        <v>446</v>
      </c>
      <c r="CA56" s="9" t="s">
        <v>546</v>
      </c>
      <c r="CB56" s="7"/>
      <c r="CC56" s="7"/>
      <c r="CD56" s="7"/>
      <c r="CE56" s="7"/>
      <c r="CF56" s="7"/>
      <c r="CH56" s="7"/>
      <c r="CI56" s="7">
        <v>3</v>
      </c>
      <c r="CJ56" s="9" t="s">
        <v>547</v>
      </c>
      <c r="CK56" s="9" t="s">
        <v>10</v>
      </c>
      <c r="CL56" s="7"/>
      <c r="CM56" s="7"/>
      <c r="CO56" s="38" t="s">
        <v>200</v>
      </c>
      <c r="CP56" s="38">
        <v>3</v>
      </c>
      <c r="CQ56" s="41" t="s">
        <v>577</v>
      </c>
      <c r="CR56" s="41" t="s">
        <v>16</v>
      </c>
      <c r="CS56" s="38"/>
      <c r="CT56" s="38"/>
    </row>
    <row r="57" spans="1:98">
      <c r="A57" s="7" t="s">
        <v>562</v>
      </c>
      <c r="B57" s="7"/>
      <c r="C57" s="9">
        <v>0</v>
      </c>
      <c r="D57" s="9">
        <v>2</v>
      </c>
      <c r="E57" s="9"/>
      <c r="F57" s="7"/>
      <c r="G57" s="7"/>
      <c r="H57" s="7"/>
      <c r="I57" s="7"/>
      <c r="J57" s="7"/>
      <c r="L57" s="7" t="s">
        <v>583</v>
      </c>
      <c r="M57" s="7"/>
      <c r="N57" s="9">
        <v>0</v>
      </c>
      <c r="O57" s="9">
        <v>1</v>
      </c>
      <c r="P57" s="9"/>
      <c r="Q57" s="7"/>
      <c r="R57" s="7"/>
      <c r="S57" s="7"/>
      <c r="U57" s="7"/>
      <c r="V57" s="7"/>
      <c r="W57" s="9">
        <v>1</v>
      </c>
      <c r="X57" s="9">
        <v>0</v>
      </c>
      <c r="Y57" s="9"/>
      <c r="Z57" s="9"/>
      <c r="AA57" s="9"/>
      <c r="AB57" s="7"/>
      <c r="AD57" s="7"/>
      <c r="AE57" s="7"/>
      <c r="AF57" s="9">
        <v>0</v>
      </c>
      <c r="AG57" s="9">
        <v>2</v>
      </c>
      <c r="AH57" s="9"/>
      <c r="AI57" s="7"/>
      <c r="AJ57" s="7"/>
      <c r="AK57" s="7"/>
      <c r="AM57" s="7"/>
      <c r="AN57" s="7"/>
      <c r="AO57" s="9">
        <v>2</v>
      </c>
      <c r="AP57" s="9">
        <v>2</v>
      </c>
      <c r="AQ57" s="9">
        <v>0</v>
      </c>
      <c r="AR57" s="9">
        <v>0</v>
      </c>
      <c r="AT57" s="7"/>
      <c r="AU57" s="7"/>
      <c r="AV57" s="9">
        <v>2</v>
      </c>
      <c r="AW57" s="9">
        <v>0</v>
      </c>
      <c r="AX57" s="9"/>
      <c r="AY57" s="7"/>
      <c r="BA57" s="7"/>
      <c r="BB57" s="7"/>
      <c r="BC57" s="9">
        <v>0</v>
      </c>
      <c r="BD57" s="9">
        <v>1</v>
      </c>
      <c r="BE57" s="9"/>
      <c r="BF57" s="9"/>
      <c r="BH57" s="7"/>
      <c r="BI57" s="7"/>
      <c r="BJ57" s="9">
        <v>1</v>
      </c>
      <c r="BK57" s="9">
        <v>1</v>
      </c>
      <c r="BL57" s="9">
        <v>0</v>
      </c>
      <c r="BM57" s="9">
        <v>0</v>
      </c>
      <c r="BN57" s="9"/>
      <c r="BO57" s="7"/>
      <c r="BQ57" s="7"/>
      <c r="BR57" s="7"/>
      <c r="BS57" s="9">
        <v>0</v>
      </c>
      <c r="BT57" s="9">
        <v>0</v>
      </c>
      <c r="BU57" s="9">
        <v>1</v>
      </c>
      <c r="BV57" s="9">
        <v>1</v>
      </c>
      <c r="BX57" s="7"/>
      <c r="BY57" s="7"/>
      <c r="BZ57" s="9">
        <v>0</v>
      </c>
      <c r="CA57" s="9">
        <v>1</v>
      </c>
      <c r="CB57" s="9"/>
      <c r="CC57" s="7"/>
      <c r="CD57" s="7"/>
      <c r="CE57" s="7"/>
      <c r="CF57" s="7"/>
      <c r="CH57" s="7"/>
      <c r="CI57" s="7"/>
      <c r="CJ57" s="9">
        <v>3</v>
      </c>
      <c r="CK57" s="9">
        <v>0</v>
      </c>
      <c r="CL57" s="9"/>
      <c r="CM57" s="7"/>
      <c r="CO57" s="38" t="s">
        <v>597</v>
      </c>
      <c r="CP57" s="38"/>
      <c r="CQ57" s="41">
        <v>2</v>
      </c>
      <c r="CR57" s="41">
        <v>0</v>
      </c>
      <c r="CS57" s="41"/>
      <c r="CT57" s="38"/>
    </row>
    <row r="58" spans="1:98">
      <c r="A58" s="7" t="s">
        <v>108</v>
      </c>
      <c r="B58" s="7">
        <v>4</v>
      </c>
      <c r="C58" s="9" t="s">
        <v>77</v>
      </c>
      <c r="D58" s="9" t="s">
        <v>143</v>
      </c>
      <c r="E58" s="9"/>
      <c r="F58" s="7"/>
      <c r="G58" s="7"/>
      <c r="H58" s="7"/>
      <c r="I58" s="7"/>
      <c r="J58" s="7"/>
      <c r="L58" s="7" t="s">
        <v>575</v>
      </c>
      <c r="M58" s="7">
        <v>4</v>
      </c>
      <c r="N58" s="9" t="s">
        <v>81</v>
      </c>
      <c r="O58" s="9" t="s">
        <v>290</v>
      </c>
      <c r="P58" s="9"/>
      <c r="Q58" s="7"/>
      <c r="R58" s="7"/>
      <c r="S58" s="7"/>
      <c r="U58" s="7" t="s">
        <v>157</v>
      </c>
      <c r="V58" s="7">
        <v>4</v>
      </c>
      <c r="W58" s="9" t="s">
        <v>112</v>
      </c>
      <c r="X58" s="9" t="s">
        <v>290</v>
      </c>
      <c r="Y58" s="9"/>
      <c r="Z58" s="9"/>
      <c r="AA58" s="9"/>
      <c r="AB58" s="7"/>
      <c r="AD58" s="7" t="s">
        <v>220</v>
      </c>
      <c r="AE58" s="7">
        <v>4</v>
      </c>
      <c r="AF58" s="9" t="s">
        <v>64</v>
      </c>
      <c r="AG58" s="9" t="s">
        <v>546</v>
      </c>
      <c r="AH58" s="9"/>
      <c r="AI58" s="7"/>
      <c r="AJ58" s="7"/>
      <c r="AK58" s="7"/>
      <c r="AM58" s="7"/>
      <c r="AN58" s="7">
        <v>4</v>
      </c>
      <c r="AO58" s="9" t="s">
        <v>58</v>
      </c>
      <c r="AP58" s="9" t="s">
        <v>112</v>
      </c>
      <c r="AQ58" s="9"/>
      <c r="AR58" s="7"/>
      <c r="AT58" s="7"/>
      <c r="AU58" s="7">
        <v>4</v>
      </c>
      <c r="AV58" s="9" t="s">
        <v>64</v>
      </c>
      <c r="AW58" s="9" t="s">
        <v>96</v>
      </c>
      <c r="AX58" s="9"/>
      <c r="AY58" s="7"/>
      <c r="BA58" s="7" t="s">
        <v>273</v>
      </c>
      <c r="BB58" s="7">
        <v>4</v>
      </c>
      <c r="BC58" s="9" t="s">
        <v>16</v>
      </c>
      <c r="BD58" s="9" t="s">
        <v>81</v>
      </c>
      <c r="BE58" s="9"/>
      <c r="BF58" s="9"/>
      <c r="BH58" s="7" t="s">
        <v>307</v>
      </c>
      <c r="BI58" s="7">
        <v>4</v>
      </c>
      <c r="BJ58" s="9" t="s">
        <v>569</v>
      </c>
      <c r="BK58" s="9" t="s">
        <v>39</v>
      </c>
      <c r="BL58" s="9"/>
      <c r="BM58" s="9"/>
      <c r="BN58" s="9"/>
      <c r="BO58" s="7"/>
      <c r="BQ58" s="7"/>
      <c r="BR58" s="7">
        <v>4</v>
      </c>
      <c r="BS58" s="9" t="s">
        <v>39</v>
      </c>
      <c r="BT58" s="9" t="s">
        <v>545</v>
      </c>
      <c r="BU58" s="7"/>
      <c r="BV58" s="7"/>
      <c r="BX58" s="7" t="s">
        <v>670</v>
      </c>
      <c r="BY58" s="7">
        <v>4</v>
      </c>
      <c r="BZ58" s="9" t="s">
        <v>547</v>
      </c>
      <c r="CA58" s="9" t="s">
        <v>37</v>
      </c>
      <c r="CB58" s="9"/>
      <c r="CC58" s="7"/>
      <c r="CD58" s="7"/>
      <c r="CE58" s="7"/>
      <c r="CF58" s="7"/>
      <c r="CH58" s="7"/>
      <c r="CI58" s="7">
        <v>4</v>
      </c>
      <c r="CJ58" s="9" t="s">
        <v>112</v>
      </c>
      <c r="CK58" s="9" t="s">
        <v>2</v>
      </c>
      <c r="CL58" s="9"/>
      <c r="CM58" s="7"/>
      <c r="CO58" s="38" t="s">
        <v>309</v>
      </c>
      <c r="CP58" s="38">
        <v>4</v>
      </c>
      <c r="CQ58" s="41" t="s">
        <v>37</v>
      </c>
      <c r="CR58" s="41" t="s">
        <v>81</v>
      </c>
      <c r="CS58" s="41"/>
      <c r="CT58" s="38"/>
    </row>
    <row r="59" spans="1:98">
      <c r="A59" s="7"/>
      <c r="B59" s="7"/>
      <c r="C59" s="9">
        <v>0</v>
      </c>
      <c r="D59" s="9">
        <v>1</v>
      </c>
      <c r="E59" s="9"/>
      <c r="F59" s="7"/>
      <c r="G59" s="7"/>
      <c r="H59" s="7"/>
      <c r="I59" s="7"/>
      <c r="J59" s="7"/>
      <c r="L59" s="7"/>
      <c r="M59" s="7"/>
      <c r="N59" s="9">
        <v>2</v>
      </c>
      <c r="O59" s="9">
        <v>0</v>
      </c>
      <c r="P59" s="9"/>
      <c r="Q59" s="7"/>
      <c r="R59" s="7"/>
      <c r="S59" s="7"/>
      <c r="U59" s="7"/>
      <c r="V59" s="7"/>
      <c r="W59" s="9">
        <v>2</v>
      </c>
      <c r="X59" s="9">
        <v>0</v>
      </c>
      <c r="Y59" s="9"/>
      <c r="Z59" s="9"/>
      <c r="AA59" s="9"/>
      <c r="AB59" s="7"/>
      <c r="AD59" s="7"/>
      <c r="AE59" s="7"/>
      <c r="AF59" s="9">
        <v>0</v>
      </c>
      <c r="AG59" s="9">
        <v>2</v>
      </c>
      <c r="AH59" s="9"/>
      <c r="AI59" s="7"/>
      <c r="AJ59" s="7"/>
      <c r="AK59" s="7"/>
      <c r="AM59" s="7"/>
      <c r="AN59" s="7"/>
      <c r="AO59" s="9">
        <v>0</v>
      </c>
      <c r="AP59" s="9">
        <v>2</v>
      </c>
      <c r="AQ59" s="9"/>
      <c r="AR59" s="7"/>
      <c r="AT59" s="7"/>
      <c r="AU59" s="7"/>
      <c r="AV59" s="9">
        <v>0</v>
      </c>
      <c r="AW59" s="9">
        <v>1</v>
      </c>
      <c r="AX59" s="9"/>
      <c r="AY59" s="7"/>
      <c r="BA59" s="7"/>
      <c r="BB59" s="7"/>
      <c r="BC59" s="9">
        <v>0</v>
      </c>
      <c r="BD59" s="9">
        <v>2</v>
      </c>
      <c r="BE59" s="9"/>
      <c r="BF59" s="9"/>
      <c r="BH59" s="7"/>
      <c r="BI59" s="7"/>
      <c r="BJ59" s="9">
        <v>1</v>
      </c>
      <c r="BK59" s="9">
        <v>0</v>
      </c>
      <c r="BL59" s="9"/>
      <c r="BM59" s="9"/>
      <c r="BN59" s="9"/>
      <c r="BO59" s="7"/>
      <c r="BQ59" s="7"/>
      <c r="BR59" s="7"/>
      <c r="BS59" s="9">
        <v>0</v>
      </c>
      <c r="BT59" s="9">
        <v>1</v>
      </c>
      <c r="BU59" s="7"/>
      <c r="BV59" s="7"/>
      <c r="BX59" s="7"/>
      <c r="BY59" s="7"/>
      <c r="BZ59" s="9">
        <v>2</v>
      </c>
      <c r="CA59" s="9">
        <v>0</v>
      </c>
      <c r="CB59" s="9"/>
      <c r="CC59" s="7"/>
      <c r="CD59" s="7"/>
      <c r="CE59" s="7"/>
      <c r="CF59" s="7"/>
      <c r="CH59" s="7"/>
      <c r="CI59" s="7"/>
      <c r="CJ59" s="9">
        <v>3</v>
      </c>
      <c r="CK59" s="9">
        <v>0</v>
      </c>
      <c r="CL59" s="9"/>
      <c r="CM59" s="7"/>
      <c r="CO59" s="38"/>
      <c r="CP59" s="38"/>
      <c r="CQ59" s="41">
        <v>0</v>
      </c>
      <c r="CR59" s="41">
        <v>3</v>
      </c>
      <c r="CS59" s="41"/>
      <c r="CT59" s="38"/>
    </row>
    <row r="60" spans="1:98">
      <c r="A60" s="7" t="s">
        <v>157</v>
      </c>
      <c r="B60" s="7">
        <v>5</v>
      </c>
      <c r="C60" s="9" t="s">
        <v>92</v>
      </c>
      <c r="D60" s="9" t="s">
        <v>17</v>
      </c>
      <c r="E60" s="9"/>
      <c r="F60" s="7"/>
      <c r="G60" s="7"/>
      <c r="H60" s="7"/>
      <c r="I60" s="7"/>
      <c r="J60" s="7"/>
      <c r="L60" s="7"/>
      <c r="M60" s="7">
        <v>5</v>
      </c>
      <c r="N60" s="9" t="s">
        <v>549</v>
      </c>
      <c r="O60" s="9" t="s">
        <v>36</v>
      </c>
      <c r="P60" s="9"/>
      <c r="Q60" s="7"/>
      <c r="R60" s="7"/>
      <c r="S60" s="7"/>
      <c r="U60" s="7" t="s">
        <v>829</v>
      </c>
      <c r="V60" s="7">
        <v>5</v>
      </c>
      <c r="W60" s="9" t="s">
        <v>70</v>
      </c>
      <c r="X60" s="9" t="s">
        <v>63</v>
      </c>
      <c r="Y60" s="9"/>
      <c r="Z60" s="9"/>
      <c r="AA60" s="9"/>
      <c r="AB60" s="7"/>
      <c r="AD60" s="7" t="s">
        <v>223</v>
      </c>
      <c r="AE60" s="7">
        <v>5</v>
      </c>
      <c r="AF60" s="9" t="s">
        <v>143</v>
      </c>
      <c r="AG60" s="9" t="s">
        <v>84</v>
      </c>
      <c r="AH60" s="9"/>
      <c r="AI60" s="7"/>
      <c r="AJ60" s="7"/>
      <c r="AK60" s="7"/>
      <c r="AM60" s="7" t="s">
        <v>157</v>
      </c>
      <c r="AN60" s="7">
        <v>5</v>
      </c>
      <c r="AO60" s="9" t="s">
        <v>142</v>
      </c>
      <c r="AP60" s="9" t="s">
        <v>82</v>
      </c>
      <c r="AQ60" s="9"/>
      <c r="AR60" s="7"/>
      <c r="AT60" s="7" t="s">
        <v>157</v>
      </c>
      <c r="AU60" s="7">
        <v>5</v>
      </c>
      <c r="AV60" s="9" t="s">
        <v>24</v>
      </c>
      <c r="AW60" s="9" t="s">
        <v>118</v>
      </c>
      <c r="AX60" s="9"/>
      <c r="AY60" s="7"/>
      <c r="BA60" s="7" t="s">
        <v>275</v>
      </c>
      <c r="BB60" s="7">
        <v>5</v>
      </c>
      <c r="BC60" s="9" t="s">
        <v>67</v>
      </c>
      <c r="BD60" s="9" t="s">
        <v>112</v>
      </c>
      <c r="BE60" s="9" t="s">
        <v>77</v>
      </c>
      <c r="BF60" s="9"/>
      <c r="BH60" s="7" t="s">
        <v>309</v>
      </c>
      <c r="BI60" s="7">
        <v>5</v>
      </c>
      <c r="BJ60" s="9" t="s">
        <v>124</v>
      </c>
      <c r="BK60" s="9" t="s">
        <v>64</v>
      </c>
      <c r="BL60" s="9"/>
      <c r="BM60" s="9"/>
      <c r="BN60" s="9"/>
      <c r="BO60" s="7"/>
      <c r="BQ60" s="7" t="s">
        <v>157</v>
      </c>
      <c r="BR60" s="7">
        <v>5</v>
      </c>
      <c r="BS60" s="9" t="s">
        <v>143</v>
      </c>
      <c r="BT60" s="9" t="s">
        <v>17</v>
      </c>
      <c r="BU60" s="7"/>
      <c r="BV60" s="7"/>
      <c r="BX60" s="7" t="s">
        <v>223</v>
      </c>
      <c r="BY60" s="7">
        <v>5</v>
      </c>
      <c r="BZ60" s="9" t="s">
        <v>67</v>
      </c>
      <c r="CA60" s="9" t="s">
        <v>112</v>
      </c>
      <c r="CB60" s="9"/>
      <c r="CC60" s="7"/>
      <c r="CD60" s="7"/>
      <c r="CE60" s="7"/>
      <c r="CF60" s="7"/>
      <c r="CH60" s="7" t="s">
        <v>200</v>
      </c>
      <c r="CI60" s="7">
        <v>5</v>
      </c>
      <c r="CJ60" s="9" t="s">
        <v>446</v>
      </c>
      <c r="CK60" s="9" t="s">
        <v>96</v>
      </c>
      <c r="CL60" s="9"/>
      <c r="CM60" s="7"/>
      <c r="CO60" s="38" t="s">
        <v>309</v>
      </c>
      <c r="CP60" s="38">
        <v>5</v>
      </c>
      <c r="CQ60" s="41" t="s">
        <v>112</v>
      </c>
      <c r="CR60" s="41" t="s">
        <v>446</v>
      </c>
      <c r="CS60" s="41"/>
      <c r="CT60" s="38"/>
    </row>
    <row r="61" spans="1:98">
      <c r="A61" s="7"/>
      <c r="B61" s="7"/>
      <c r="C61" s="9">
        <v>2</v>
      </c>
      <c r="D61" s="9">
        <v>0</v>
      </c>
      <c r="E61" s="9"/>
      <c r="F61" s="7"/>
      <c r="G61" s="7"/>
      <c r="H61" s="7"/>
      <c r="I61" s="7"/>
      <c r="J61" s="7"/>
      <c r="L61" s="7"/>
      <c r="M61" s="7"/>
      <c r="N61" s="9">
        <v>2</v>
      </c>
      <c r="O61" s="9">
        <v>0</v>
      </c>
      <c r="P61" s="9"/>
      <c r="Q61" s="7"/>
      <c r="R61" s="7"/>
      <c r="S61" s="7"/>
      <c r="U61" s="7"/>
      <c r="V61" s="7"/>
      <c r="W61" s="9">
        <v>1</v>
      </c>
      <c r="X61" s="9">
        <v>0</v>
      </c>
      <c r="Y61" s="9"/>
      <c r="Z61" s="9"/>
      <c r="AA61" s="9"/>
      <c r="AB61" s="7"/>
      <c r="AD61" s="7"/>
      <c r="AE61" s="7"/>
      <c r="AF61" s="9">
        <v>3</v>
      </c>
      <c r="AG61" s="9">
        <v>0</v>
      </c>
      <c r="AH61" s="9"/>
      <c r="AI61" s="7"/>
      <c r="AJ61" s="7"/>
      <c r="AK61" s="7"/>
      <c r="AM61" s="7"/>
      <c r="AN61" s="7"/>
      <c r="AO61" s="9">
        <v>1</v>
      </c>
      <c r="AP61" s="9">
        <v>0</v>
      </c>
      <c r="AQ61" s="9"/>
      <c r="AR61" s="7"/>
      <c r="AT61" s="7"/>
      <c r="AU61" s="7"/>
      <c r="AV61" s="9">
        <v>0</v>
      </c>
      <c r="AW61" s="9">
        <v>1</v>
      </c>
      <c r="AX61" s="9"/>
      <c r="AY61" s="7"/>
      <c r="BA61" s="7"/>
      <c r="BB61" s="7"/>
      <c r="BC61" s="9">
        <v>0</v>
      </c>
      <c r="BD61" s="9">
        <v>1</v>
      </c>
      <c r="BE61" s="9">
        <v>0</v>
      </c>
      <c r="BF61" s="9"/>
      <c r="BH61" s="7"/>
      <c r="BI61" s="7"/>
      <c r="BJ61" s="9">
        <v>1</v>
      </c>
      <c r="BK61" s="9">
        <v>0</v>
      </c>
      <c r="BL61" s="9"/>
      <c r="BM61" s="9"/>
      <c r="BN61" s="9"/>
      <c r="BO61" s="7"/>
      <c r="BQ61" s="7"/>
      <c r="BR61" s="7"/>
      <c r="BS61" s="9">
        <v>3</v>
      </c>
      <c r="BT61" s="9">
        <v>0</v>
      </c>
      <c r="BU61" s="7"/>
      <c r="BV61" s="7"/>
      <c r="BX61" s="7"/>
      <c r="BY61" s="7"/>
      <c r="BZ61" s="9">
        <v>0</v>
      </c>
      <c r="CA61" s="9">
        <v>1</v>
      </c>
      <c r="CB61" s="9"/>
      <c r="CC61" s="7"/>
      <c r="CD61" s="7"/>
      <c r="CE61" s="7"/>
      <c r="CF61" s="7"/>
      <c r="CH61" s="7" t="s">
        <v>562</v>
      </c>
      <c r="CI61" s="7"/>
      <c r="CJ61" s="9">
        <v>0</v>
      </c>
      <c r="CK61" s="9">
        <v>3</v>
      </c>
      <c r="CL61" s="9"/>
      <c r="CM61" s="7"/>
      <c r="CO61" s="38"/>
      <c r="CP61" s="38"/>
      <c r="CQ61" s="41">
        <v>1</v>
      </c>
      <c r="CR61" s="41">
        <v>0</v>
      </c>
      <c r="CS61" s="41"/>
      <c r="CT61" s="38"/>
    </row>
    <row r="62" spans="1:98">
      <c r="CO62" s="32"/>
      <c r="CP62" s="32"/>
      <c r="CQ62" s="32"/>
      <c r="CR62" s="32"/>
      <c r="CS62" s="32"/>
      <c r="CT62" s="32"/>
    </row>
    <row r="63" spans="1:98" ht="21">
      <c r="A63" s="90"/>
      <c r="B63" s="91" t="s">
        <v>429</v>
      </c>
      <c r="C63" s="105" t="s">
        <v>455</v>
      </c>
      <c r="D63" s="92"/>
      <c r="E63" s="90"/>
      <c r="F63" s="90"/>
      <c r="G63" s="90"/>
      <c r="H63" s="90"/>
      <c r="I63" s="90"/>
      <c r="J63" s="90"/>
      <c r="L63" s="90"/>
      <c r="M63" s="91" t="s">
        <v>429</v>
      </c>
      <c r="N63" s="105" t="s">
        <v>461</v>
      </c>
      <c r="O63" s="92"/>
      <c r="P63" s="90"/>
      <c r="Q63" s="90"/>
      <c r="R63" s="90"/>
      <c r="S63" s="90"/>
      <c r="U63" s="90"/>
      <c r="V63" s="91" t="s">
        <v>429</v>
      </c>
      <c r="W63" s="105" t="s">
        <v>466</v>
      </c>
      <c r="X63" s="92"/>
      <c r="Y63" s="90"/>
      <c r="Z63" s="90"/>
      <c r="AA63" s="90"/>
      <c r="AB63" s="90"/>
      <c r="AD63" s="90"/>
      <c r="AE63" s="91" t="s">
        <v>429</v>
      </c>
      <c r="AF63" s="105" t="s">
        <v>177</v>
      </c>
      <c r="AG63" s="92"/>
      <c r="AH63" s="90"/>
      <c r="AI63" s="90"/>
      <c r="AJ63" s="90"/>
      <c r="AK63" s="90"/>
      <c r="AM63" s="90"/>
      <c r="AN63" s="91" t="s">
        <v>429</v>
      </c>
      <c r="AO63" s="105" t="s">
        <v>178</v>
      </c>
      <c r="AP63" s="92"/>
      <c r="AQ63" s="90"/>
      <c r="AR63" s="90"/>
      <c r="AT63" s="90"/>
      <c r="AU63" s="91" t="s">
        <v>429</v>
      </c>
      <c r="AV63" s="105" t="s">
        <v>475</v>
      </c>
      <c r="AW63" s="92"/>
      <c r="AX63" s="90"/>
      <c r="AY63" s="90"/>
      <c r="BA63" s="90"/>
      <c r="BB63" s="91" t="s">
        <v>429</v>
      </c>
      <c r="BC63" s="105" t="s">
        <v>484</v>
      </c>
      <c r="BD63" s="92"/>
      <c r="BE63" s="90"/>
      <c r="BF63" s="92"/>
      <c r="BH63" s="90"/>
      <c r="BI63" s="91" t="s">
        <v>429</v>
      </c>
      <c r="BJ63" s="105" t="s">
        <v>530</v>
      </c>
      <c r="BK63" s="92"/>
      <c r="BL63" s="90"/>
      <c r="BM63" s="90"/>
      <c r="BN63" s="90"/>
      <c r="BO63" s="90"/>
      <c r="BQ63" s="90"/>
      <c r="BR63" s="91" t="s">
        <v>429</v>
      </c>
      <c r="BS63" s="105" t="s">
        <v>496</v>
      </c>
      <c r="BT63" s="92"/>
      <c r="BU63" s="90"/>
      <c r="BV63" s="90"/>
      <c r="BX63" s="90"/>
      <c r="BY63" s="91" t="s">
        <v>429</v>
      </c>
      <c r="BZ63" s="105" t="s">
        <v>503</v>
      </c>
      <c r="CA63" s="92"/>
      <c r="CB63" s="90"/>
      <c r="CC63" s="90"/>
      <c r="CD63" s="90"/>
      <c r="CE63" s="90"/>
      <c r="CF63" s="90"/>
      <c r="CH63" s="90"/>
      <c r="CI63" s="91" t="s">
        <v>429</v>
      </c>
      <c r="CJ63" s="105" t="s">
        <v>476</v>
      </c>
      <c r="CK63" s="92"/>
      <c r="CL63" s="90"/>
      <c r="CM63" s="90"/>
      <c r="CO63" s="93"/>
      <c r="CP63" s="94" t="s">
        <v>429</v>
      </c>
      <c r="CQ63" s="95" t="s">
        <v>238</v>
      </c>
      <c r="CR63" s="96"/>
      <c r="CS63" s="93"/>
      <c r="CT63" s="93"/>
    </row>
    <row r="64" spans="1:98">
      <c r="A64" s="90"/>
      <c r="B64" s="90">
        <v>1</v>
      </c>
      <c r="C64" s="92" t="s">
        <v>566</v>
      </c>
      <c r="D64" s="92" t="s">
        <v>59</v>
      </c>
      <c r="E64" s="92"/>
      <c r="F64" s="90"/>
      <c r="G64" s="90"/>
      <c r="H64" s="90"/>
      <c r="I64" s="90"/>
      <c r="J64" s="90"/>
      <c r="L64" s="90"/>
      <c r="M64" s="90">
        <v>1</v>
      </c>
      <c r="N64" s="92" t="s">
        <v>584</v>
      </c>
      <c r="O64" s="92" t="s">
        <v>23</v>
      </c>
      <c r="P64" s="92"/>
      <c r="Q64" s="90"/>
      <c r="R64" s="90"/>
      <c r="S64" s="90"/>
      <c r="U64" s="90"/>
      <c r="V64" s="90">
        <v>1</v>
      </c>
      <c r="W64" s="92" t="s">
        <v>49</v>
      </c>
      <c r="X64" s="92" t="s">
        <v>123</v>
      </c>
      <c r="Y64" s="92"/>
      <c r="Z64" s="92"/>
      <c r="AA64" s="92"/>
      <c r="AB64" s="90"/>
      <c r="AD64" s="90"/>
      <c r="AE64" s="90">
        <v>1</v>
      </c>
      <c r="AF64" s="92" t="s">
        <v>566</v>
      </c>
      <c r="AG64" s="92" t="s">
        <v>66</v>
      </c>
      <c r="AH64" s="92"/>
      <c r="AI64" s="90"/>
      <c r="AJ64" s="90"/>
      <c r="AK64" s="90"/>
      <c r="AM64" s="90"/>
      <c r="AN64" s="90">
        <v>1</v>
      </c>
      <c r="AO64" s="92" t="s">
        <v>110</v>
      </c>
      <c r="AP64" s="92" t="s">
        <v>5</v>
      </c>
      <c r="AQ64" s="92"/>
      <c r="AR64" s="90"/>
      <c r="AT64" s="90"/>
      <c r="AU64" s="90">
        <v>1</v>
      </c>
      <c r="AV64" s="92" t="s">
        <v>566</v>
      </c>
      <c r="AW64" s="92" t="s">
        <v>18</v>
      </c>
      <c r="AX64" s="92"/>
      <c r="AY64" s="90"/>
      <c r="BA64" s="90"/>
      <c r="BB64" s="90">
        <v>1</v>
      </c>
      <c r="BC64" s="92" t="s">
        <v>111</v>
      </c>
      <c r="BD64" s="92" t="s">
        <v>21</v>
      </c>
      <c r="BE64" s="92"/>
      <c r="BF64" s="92"/>
      <c r="BH64" s="90"/>
      <c r="BI64" s="90">
        <v>1</v>
      </c>
      <c r="BJ64" s="92" t="s">
        <v>18</v>
      </c>
      <c r="BK64" s="92" t="s">
        <v>894</v>
      </c>
      <c r="BL64" s="92"/>
      <c r="BM64" s="92"/>
      <c r="BN64" s="92"/>
      <c r="BO64" s="90"/>
      <c r="BQ64" s="90"/>
      <c r="BR64" s="90">
        <v>1</v>
      </c>
      <c r="BS64" s="92" t="s">
        <v>141</v>
      </c>
      <c r="BT64" s="92" t="s">
        <v>11</v>
      </c>
      <c r="BU64" s="92"/>
      <c r="BV64" s="90"/>
      <c r="BX64" s="90"/>
      <c r="BY64" s="90">
        <v>1</v>
      </c>
      <c r="BZ64" s="92" t="s">
        <v>65</v>
      </c>
      <c r="CA64" s="92" t="s">
        <v>574</v>
      </c>
      <c r="CB64" s="92"/>
      <c r="CC64" s="90"/>
      <c r="CD64" s="90"/>
      <c r="CE64" s="90"/>
      <c r="CF64" s="90"/>
      <c r="CH64" s="90"/>
      <c r="CI64" s="90">
        <v>1</v>
      </c>
      <c r="CJ64" s="92" t="s">
        <v>123</v>
      </c>
      <c r="CK64" s="92" t="s">
        <v>6</v>
      </c>
      <c r="CL64" s="92"/>
      <c r="CM64" s="90"/>
      <c r="CO64" s="93"/>
      <c r="CP64" s="93">
        <v>1</v>
      </c>
      <c r="CQ64" s="96" t="s">
        <v>574</v>
      </c>
      <c r="CR64" s="96" t="s">
        <v>6</v>
      </c>
      <c r="CS64" s="96"/>
      <c r="CT64" s="93"/>
    </row>
    <row r="65" spans="1:98">
      <c r="A65" s="90"/>
      <c r="B65" s="90"/>
      <c r="C65" s="92">
        <v>1</v>
      </c>
      <c r="D65" s="92">
        <v>0</v>
      </c>
      <c r="E65" s="92"/>
      <c r="F65" s="90"/>
      <c r="G65" s="90"/>
      <c r="H65" s="90"/>
      <c r="I65" s="90"/>
      <c r="J65" s="90"/>
      <c r="L65" s="90"/>
      <c r="M65" s="90"/>
      <c r="N65" s="92">
        <v>1</v>
      </c>
      <c r="O65" s="92">
        <v>0</v>
      </c>
      <c r="P65" s="92"/>
      <c r="Q65" s="90"/>
      <c r="R65" s="90"/>
      <c r="S65" s="90"/>
      <c r="U65" s="90"/>
      <c r="V65" s="90"/>
      <c r="W65" s="92">
        <v>0</v>
      </c>
      <c r="X65" s="92">
        <v>1</v>
      </c>
      <c r="Y65" s="92"/>
      <c r="Z65" s="92"/>
      <c r="AA65" s="92"/>
      <c r="AB65" s="90"/>
      <c r="AD65" s="90"/>
      <c r="AE65" s="90"/>
      <c r="AF65" s="92">
        <v>1</v>
      </c>
      <c r="AG65" s="92">
        <v>0</v>
      </c>
      <c r="AH65" s="92"/>
      <c r="AI65" s="90"/>
      <c r="AJ65" s="90"/>
      <c r="AK65" s="90"/>
      <c r="AM65" s="90"/>
      <c r="AN65" s="90"/>
      <c r="AO65" s="92">
        <v>2</v>
      </c>
      <c r="AP65" s="92">
        <v>0</v>
      </c>
      <c r="AQ65" s="92"/>
      <c r="AR65" s="90"/>
      <c r="AT65" s="90"/>
      <c r="AU65" s="90"/>
      <c r="AV65" s="92">
        <v>2</v>
      </c>
      <c r="AW65" s="92">
        <v>0</v>
      </c>
      <c r="AX65" s="92"/>
      <c r="AY65" s="90"/>
      <c r="BA65" s="90"/>
      <c r="BB65" s="90"/>
      <c r="BC65" s="92">
        <v>1</v>
      </c>
      <c r="BD65" s="92">
        <v>0</v>
      </c>
      <c r="BE65" s="92"/>
      <c r="BF65" s="92"/>
      <c r="BH65" s="90"/>
      <c r="BI65" s="90"/>
      <c r="BJ65" s="92">
        <v>0</v>
      </c>
      <c r="BK65" s="92">
        <v>2</v>
      </c>
      <c r="BL65" s="92"/>
      <c r="BM65" s="92"/>
      <c r="BN65" s="92"/>
      <c r="BO65" s="90"/>
      <c r="BQ65" s="90"/>
      <c r="BR65" s="90"/>
      <c r="BS65" s="92">
        <v>1</v>
      </c>
      <c r="BT65" s="92">
        <v>0</v>
      </c>
      <c r="BU65" s="92"/>
      <c r="BV65" s="90"/>
      <c r="BX65" s="90"/>
      <c r="BY65" s="90"/>
      <c r="BZ65" s="92">
        <v>0</v>
      </c>
      <c r="CA65" s="92">
        <v>1</v>
      </c>
      <c r="CB65" s="92"/>
      <c r="CC65" s="90"/>
      <c r="CD65" s="90"/>
      <c r="CE65" s="90"/>
      <c r="CF65" s="90"/>
      <c r="CH65" s="90"/>
      <c r="CI65" s="90"/>
      <c r="CJ65" s="92">
        <v>3</v>
      </c>
      <c r="CK65" s="92">
        <v>0</v>
      </c>
      <c r="CL65" s="92"/>
      <c r="CM65" s="90"/>
      <c r="CO65" s="93"/>
      <c r="CP65" s="93"/>
      <c r="CQ65" s="96">
        <v>3</v>
      </c>
      <c r="CR65" s="96">
        <v>0</v>
      </c>
      <c r="CS65" s="96"/>
      <c r="CT65" s="93"/>
    </row>
    <row r="66" spans="1:98">
      <c r="A66" s="90"/>
      <c r="B66" s="90">
        <v>2</v>
      </c>
      <c r="C66" s="92" t="s">
        <v>533</v>
      </c>
      <c r="D66" s="92" t="s">
        <v>222</v>
      </c>
      <c r="E66" s="92"/>
      <c r="F66" s="90"/>
      <c r="G66" s="90"/>
      <c r="H66" s="90"/>
      <c r="I66" s="90"/>
      <c r="J66" s="90"/>
      <c r="L66" s="90"/>
      <c r="M66" s="90">
        <v>2</v>
      </c>
      <c r="N66" s="92" t="s">
        <v>66</v>
      </c>
      <c r="O66" s="92" t="s">
        <v>123</v>
      </c>
      <c r="P66" s="92"/>
      <c r="Q66" s="90"/>
      <c r="R66" s="90"/>
      <c r="S66" s="90"/>
      <c r="U66" s="90" t="s">
        <v>136</v>
      </c>
      <c r="V66" s="90">
        <v>2</v>
      </c>
      <c r="W66" s="92" t="s">
        <v>81</v>
      </c>
      <c r="X66" s="122" t="s">
        <v>124</v>
      </c>
      <c r="Y66" s="92" t="s">
        <v>11</v>
      </c>
      <c r="Z66" s="92" t="s">
        <v>446</v>
      </c>
      <c r="AA66" s="92"/>
      <c r="AB66" s="90"/>
      <c r="AD66" s="90"/>
      <c r="AE66" s="90">
        <v>2</v>
      </c>
      <c r="AF66" s="92" t="s">
        <v>23</v>
      </c>
      <c r="AG66" s="92" t="s">
        <v>251</v>
      </c>
      <c r="AH66" s="92"/>
      <c r="AI66" s="90"/>
      <c r="AJ66" s="90"/>
      <c r="AK66" s="90"/>
      <c r="AM66" s="90"/>
      <c r="AN66" s="90">
        <v>2</v>
      </c>
      <c r="AO66" s="92" t="s">
        <v>566</v>
      </c>
      <c r="AP66" s="92" t="s">
        <v>7</v>
      </c>
      <c r="AQ66" s="92"/>
      <c r="AR66" s="90"/>
      <c r="AT66" s="90"/>
      <c r="AU66" s="90">
        <v>2</v>
      </c>
      <c r="AV66" s="92" t="s">
        <v>557</v>
      </c>
      <c r="AW66" s="92" t="s">
        <v>533</v>
      </c>
      <c r="AX66" s="92"/>
      <c r="AY66" s="90"/>
      <c r="BA66" s="90" t="s">
        <v>271</v>
      </c>
      <c r="BB66" s="90">
        <v>2</v>
      </c>
      <c r="BC66" s="92" t="s">
        <v>548</v>
      </c>
      <c r="BD66" s="92" t="s">
        <v>66</v>
      </c>
      <c r="BE66" s="92"/>
      <c r="BF66" s="92"/>
      <c r="BH66" s="90"/>
      <c r="BI66" s="90">
        <v>2</v>
      </c>
      <c r="BJ66" s="92" t="s">
        <v>44</v>
      </c>
      <c r="BK66" s="92" t="s">
        <v>585</v>
      </c>
      <c r="BL66" s="92"/>
      <c r="BM66" s="92"/>
      <c r="BN66" s="92"/>
      <c r="BO66" s="90"/>
      <c r="BQ66" s="90"/>
      <c r="BR66" s="90">
        <v>2</v>
      </c>
      <c r="BS66" s="92" t="s">
        <v>586</v>
      </c>
      <c r="BT66" s="92" t="s">
        <v>21</v>
      </c>
      <c r="BU66" s="92"/>
      <c r="BV66" s="90"/>
      <c r="BX66" s="90"/>
      <c r="BY66" s="90">
        <v>2</v>
      </c>
      <c r="BZ66" s="92" t="s">
        <v>551</v>
      </c>
      <c r="CA66" s="92" t="s">
        <v>9</v>
      </c>
      <c r="CB66" s="92"/>
      <c r="CC66" s="90"/>
      <c r="CD66" s="90"/>
      <c r="CE66" s="90"/>
      <c r="CF66" s="90"/>
      <c r="CH66" s="90"/>
      <c r="CI66" s="90">
        <v>2</v>
      </c>
      <c r="CJ66" s="92" t="s">
        <v>18</v>
      </c>
      <c r="CK66" s="92" t="s">
        <v>585</v>
      </c>
      <c r="CL66" s="92"/>
      <c r="CM66" s="90"/>
      <c r="CO66" s="93"/>
      <c r="CP66" s="93">
        <v>2</v>
      </c>
      <c r="CQ66" s="96" t="s">
        <v>9</v>
      </c>
      <c r="CR66" s="96" t="s">
        <v>551</v>
      </c>
      <c r="CS66" s="96"/>
      <c r="CT66" s="93"/>
    </row>
    <row r="67" spans="1:98">
      <c r="A67" s="90"/>
      <c r="B67" s="90"/>
      <c r="C67" s="92"/>
      <c r="D67" s="92">
        <v>1</v>
      </c>
      <c r="E67" s="92"/>
      <c r="F67" s="90"/>
      <c r="G67" s="90"/>
      <c r="H67" s="90"/>
      <c r="I67" s="90"/>
      <c r="J67" s="90"/>
      <c r="L67" s="90"/>
      <c r="M67" s="90"/>
      <c r="N67" s="92">
        <v>0</v>
      </c>
      <c r="O67" s="92">
        <v>2</v>
      </c>
      <c r="P67" s="92"/>
      <c r="Q67" s="90"/>
      <c r="R67" s="90"/>
      <c r="S67" s="90"/>
      <c r="U67" s="90"/>
      <c r="V67" s="90"/>
      <c r="W67" s="92">
        <v>1</v>
      </c>
      <c r="X67" s="92">
        <v>1</v>
      </c>
      <c r="Y67" s="92">
        <v>0</v>
      </c>
      <c r="Z67" s="92">
        <v>0</v>
      </c>
      <c r="AA67" s="92"/>
      <c r="AB67" s="90"/>
      <c r="AD67" s="90"/>
      <c r="AE67" s="90"/>
      <c r="AF67" s="92">
        <v>0</v>
      </c>
      <c r="AG67" s="92">
        <v>2</v>
      </c>
      <c r="AH67" s="92"/>
      <c r="AI67" s="90"/>
      <c r="AJ67" s="90"/>
      <c r="AK67" s="90"/>
      <c r="AM67" s="90"/>
      <c r="AN67" s="90"/>
      <c r="AO67" s="92">
        <v>1</v>
      </c>
      <c r="AP67" s="92">
        <v>0</v>
      </c>
      <c r="AQ67" s="92"/>
      <c r="AR67" s="90"/>
      <c r="AT67" s="90"/>
      <c r="AU67" s="90"/>
      <c r="AV67" s="92">
        <v>1</v>
      </c>
      <c r="AW67" s="92">
        <v>0</v>
      </c>
      <c r="AX67" s="92"/>
      <c r="AY67" s="90"/>
      <c r="BA67" s="90"/>
      <c r="BB67" s="90"/>
      <c r="BC67" s="92">
        <v>3</v>
      </c>
      <c r="BD67" s="92">
        <v>0</v>
      </c>
      <c r="BE67" s="92"/>
      <c r="BF67" s="92"/>
      <c r="BH67" s="90"/>
      <c r="BI67" s="90"/>
      <c r="BJ67" s="92">
        <v>0</v>
      </c>
      <c r="BK67" s="92">
        <v>1</v>
      </c>
      <c r="BL67" s="92"/>
      <c r="BM67" s="92"/>
      <c r="BN67" s="92"/>
      <c r="BO67" s="90"/>
      <c r="BQ67" s="90"/>
      <c r="BR67" s="90"/>
      <c r="BS67" s="92">
        <v>3</v>
      </c>
      <c r="BT67" s="92">
        <v>0</v>
      </c>
      <c r="BU67" s="92"/>
      <c r="BV67" s="90"/>
      <c r="BX67" s="90"/>
      <c r="BY67" s="90"/>
      <c r="BZ67" s="92">
        <v>1</v>
      </c>
      <c r="CA67" s="92">
        <v>0</v>
      </c>
      <c r="CB67" s="92"/>
      <c r="CC67" s="90"/>
      <c r="CD67" s="90"/>
      <c r="CE67" s="90"/>
      <c r="CF67" s="90"/>
      <c r="CH67" s="90"/>
      <c r="CI67" s="90"/>
      <c r="CJ67" s="92">
        <v>0</v>
      </c>
      <c r="CK67" s="92">
        <v>3</v>
      </c>
      <c r="CL67" s="92"/>
      <c r="CM67" s="90"/>
      <c r="CO67" s="93"/>
      <c r="CP67" s="93"/>
      <c r="CQ67" s="96">
        <v>0</v>
      </c>
      <c r="CR67" s="96">
        <v>3</v>
      </c>
      <c r="CS67" s="96"/>
      <c r="CT67" s="93"/>
    </row>
    <row r="68" spans="1:98">
      <c r="A68" s="90"/>
      <c r="B68" s="90">
        <v>3</v>
      </c>
      <c r="C68" s="92" t="s">
        <v>71</v>
      </c>
      <c r="D68" s="92" t="s">
        <v>48</v>
      </c>
      <c r="E68" s="90"/>
      <c r="F68" s="90"/>
      <c r="G68" s="90"/>
      <c r="H68" s="90"/>
      <c r="I68" s="90"/>
      <c r="J68" s="90"/>
      <c r="L68" s="90"/>
      <c r="M68" s="90">
        <v>3</v>
      </c>
      <c r="N68" s="92" t="s">
        <v>48</v>
      </c>
      <c r="O68" s="92" t="s">
        <v>263</v>
      </c>
      <c r="P68" s="90"/>
      <c r="Q68" s="90"/>
      <c r="R68" s="90"/>
      <c r="S68" s="90"/>
      <c r="U68" s="90"/>
      <c r="V68" s="90">
        <v>3</v>
      </c>
      <c r="W68" s="92" t="s">
        <v>53</v>
      </c>
      <c r="X68" s="92" t="s">
        <v>96</v>
      </c>
      <c r="Y68" s="90"/>
      <c r="Z68" s="90"/>
      <c r="AA68" s="90"/>
      <c r="AB68" s="90"/>
      <c r="AD68" s="90" t="s">
        <v>220</v>
      </c>
      <c r="AE68" s="90">
        <v>3</v>
      </c>
      <c r="AF68" s="92" t="s">
        <v>1</v>
      </c>
      <c r="AG68" s="92" t="s">
        <v>75</v>
      </c>
      <c r="AH68" s="90"/>
      <c r="AI68" s="90"/>
      <c r="AJ68" s="90"/>
      <c r="AK68" s="90"/>
      <c r="AM68" s="90"/>
      <c r="AN68" s="90">
        <v>3</v>
      </c>
      <c r="AO68" s="92" t="s">
        <v>533</v>
      </c>
      <c r="AP68" s="92" t="s">
        <v>123</v>
      </c>
      <c r="AQ68" s="90"/>
      <c r="AR68" s="90"/>
      <c r="AT68" s="90"/>
      <c r="AU68" s="90">
        <v>3</v>
      </c>
      <c r="AV68" s="92" t="s">
        <v>138</v>
      </c>
      <c r="AW68" s="92" t="s">
        <v>5</v>
      </c>
      <c r="AX68" s="92"/>
      <c r="AY68" s="92"/>
      <c r="BA68" s="90" t="s">
        <v>272</v>
      </c>
      <c r="BB68" s="90">
        <v>3</v>
      </c>
      <c r="BC68" s="92" t="s">
        <v>566</v>
      </c>
      <c r="BD68" s="92" t="s">
        <v>19</v>
      </c>
      <c r="BE68" s="90"/>
      <c r="BF68" s="92"/>
      <c r="BH68" s="90"/>
      <c r="BI68" s="90">
        <v>3</v>
      </c>
      <c r="BJ68" s="92" t="s">
        <v>5</v>
      </c>
      <c r="BK68" s="92" t="s">
        <v>557</v>
      </c>
      <c r="BL68" s="90"/>
      <c r="BM68" s="90"/>
      <c r="BN68" s="90"/>
      <c r="BO68" s="90"/>
      <c r="BQ68" s="90"/>
      <c r="BR68" s="90">
        <v>3</v>
      </c>
      <c r="BS68" s="92" t="s">
        <v>71</v>
      </c>
      <c r="BT68" s="92" t="s">
        <v>5</v>
      </c>
      <c r="BU68" s="90"/>
      <c r="BV68" s="90"/>
      <c r="BX68" s="90" t="s">
        <v>136</v>
      </c>
      <c r="BY68" s="90">
        <v>3</v>
      </c>
      <c r="BZ68" s="92" t="s">
        <v>560</v>
      </c>
      <c r="CA68" s="122" t="s">
        <v>545</v>
      </c>
      <c r="CB68" s="92" t="s">
        <v>5</v>
      </c>
      <c r="CC68" s="92" t="s">
        <v>6</v>
      </c>
      <c r="CD68" s="90"/>
      <c r="CE68" s="90"/>
      <c r="CF68" s="90"/>
      <c r="CH68" s="90"/>
      <c r="CI68" s="90">
        <v>3</v>
      </c>
      <c r="CJ68" s="92" t="s">
        <v>5</v>
      </c>
      <c r="CK68" s="92" t="s">
        <v>551</v>
      </c>
      <c r="CL68" s="90"/>
      <c r="CM68" s="90"/>
      <c r="CO68" s="93" t="s">
        <v>582</v>
      </c>
      <c r="CP68" s="93">
        <v>3</v>
      </c>
      <c r="CQ68" s="96" t="s">
        <v>12</v>
      </c>
      <c r="CR68" s="96" t="s">
        <v>548</v>
      </c>
      <c r="CS68" s="93"/>
      <c r="CT68" s="93"/>
    </row>
    <row r="69" spans="1:98">
      <c r="A69" s="90"/>
      <c r="B69" s="90"/>
      <c r="C69" s="92">
        <v>3</v>
      </c>
      <c r="D69" s="92">
        <v>0</v>
      </c>
      <c r="E69" s="92"/>
      <c r="F69" s="90"/>
      <c r="G69" s="90"/>
      <c r="H69" s="90"/>
      <c r="I69" s="90"/>
      <c r="J69" s="90"/>
      <c r="L69" s="90"/>
      <c r="M69" s="90"/>
      <c r="N69" s="92">
        <v>0</v>
      </c>
      <c r="O69" s="92">
        <v>3</v>
      </c>
      <c r="P69" s="92"/>
      <c r="Q69" s="90"/>
      <c r="R69" s="90"/>
      <c r="S69" s="90"/>
      <c r="U69" s="90"/>
      <c r="V69" s="90"/>
      <c r="W69" s="92">
        <v>0</v>
      </c>
      <c r="X69" s="92">
        <v>1</v>
      </c>
      <c r="Y69" s="92"/>
      <c r="Z69" s="92"/>
      <c r="AA69" s="92"/>
      <c r="AB69" s="90"/>
      <c r="AD69" s="90"/>
      <c r="AE69" s="90"/>
      <c r="AF69" s="92">
        <v>0</v>
      </c>
      <c r="AG69" s="92">
        <v>1</v>
      </c>
      <c r="AH69" s="92"/>
      <c r="AI69" s="90"/>
      <c r="AJ69" s="90"/>
      <c r="AK69" s="90"/>
      <c r="AM69" s="90"/>
      <c r="AN69" s="90"/>
      <c r="AO69" s="92">
        <v>0</v>
      </c>
      <c r="AP69" s="92">
        <v>3</v>
      </c>
      <c r="AQ69" s="92"/>
      <c r="AR69" s="90"/>
      <c r="AT69" s="90"/>
      <c r="AU69" s="90"/>
      <c r="AV69" s="92">
        <v>1</v>
      </c>
      <c r="AW69" s="92">
        <v>0</v>
      </c>
      <c r="AX69" s="92"/>
      <c r="AY69" s="90"/>
      <c r="BA69" s="90"/>
      <c r="BB69" s="90"/>
      <c r="BC69" s="92">
        <v>1</v>
      </c>
      <c r="BD69" s="92">
        <v>0</v>
      </c>
      <c r="BE69" s="92"/>
      <c r="BF69" s="92"/>
      <c r="BH69" s="90"/>
      <c r="BI69" s="90"/>
      <c r="BJ69" s="92">
        <v>0</v>
      </c>
      <c r="BK69" s="92">
        <v>1</v>
      </c>
      <c r="BL69" s="92"/>
      <c r="BM69" s="92"/>
      <c r="BN69" s="92"/>
      <c r="BO69" s="90"/>
      <c r="BQ69" s="90"/>
      <c r="BR69" s="90"/>
      <c r="BS69" s="92">
        <v>1</v>
      </c>
      <c r="BT69" s="92">
        <v>0</v>
      </c>
      <c r="BU69" s="92"/>
      <c r="BV69" s="90"/>
      <c r="BX69" s="90"/>
      <c r="BY69" s="90"/>
      <c r="BZ69" s="92">
        <v>2</v>
      </c>
      <c r="CA69" s="92">
        <v>2</v>
      </c>
      <c r="CB69" s="92">
        <v>0</v>
      </c>
      <c r="CC69" s="92">
        <v>0</v>
      </c>
      <c r="CD69" s="90"/>
      <c r="CE69" s="90"/>
      <c r="CF69" s="90"/>
      <c r="CH69" s="90"/>
      <c r="CI69" s="90"/>
      <c r="CJ69" s="92">
        <v>0</v>
      </c>
      <c r="CK69" s="92">
        <v>1</v>
      </c>
      <c r="CL69" s="92"/>
      <c r="CM69" s="90"/>
      <c r="CO69" s="93"/>
      <c r="CP69" s="93"/>
      <c r="CQ69" s="96">
        <v>0</v>
      </c>
      <c r="CR69" s="96">
        <v>1</v>
      </c>
      <c r="CS69" s="96"/>
      <c r="CT69" s="93"/>
    </row>
    <row r="70" spans="1:98">
      <c r="A70" s="90" t="s">
        <v>108</v>
      </c>
      <c r="B70" s="90">
        <v>4</v>
      </c>
      <c r="C70" s="92" t="s">
        <v>60</v>
      </c>
      <c r="D70" s="92" t="s">
        <v>49</v>
      </c>
      <c r="E70" s="92" t="s">
        <v>567</v>
      </c>
      <c r="F70" s="90"/>
      <c r="G70" s="90"/>
      <c r="H70" s="90"/>
      <c r="I70" s="90"/>
      <c r="J70" s="90"/>
      <c r="L70" s="90" t="s">
        <v>575</v>
      </c>
      <c r="M70" s="90">
        <v>4</v>
      </c>
      <c r="N70" s="92" t="s">
        <v>65</v>
      </c>
      <c r="O70" s="92" t="s">
        <v>585</v>
      </c>
      <c r="P70" s="92"/>
      <c r="Q70" s="90"/>
      <c r="R70" s="90"/>
      <c r="S70" s="90"/>
      <c r="U70" s="90"/>
      <c r="V70" s="90">
        <v>4</v>
      </c>
      <c r="W70" s="92" t="s">
        <v>1</v>
      </c>
      <c r="X70" s="92" t="s">
        <v>585</v>
      </c>
      <c r="Y70" s="92"/>
      <c r="Z70" s="92"/>
      <c r="AA70" s="92"/>
      <c r="AB70" s="90"/>
      <c r="AD70" s="90" t="s">
        <v>220</v>
      </c>
      <c r="AE70" s="90">
        <v>4</v>
      </c>
      <c r="AF70" s="92" t="s">
        <v>263</v>
      </c>
      <c r="AG70" s="92" t="s">
        <v>446</v>
      </c>
      <c r="AH70" s="92"/>
      <c r="AI70" s="90"/>
      <c r="AJ70" s="90"/>
      <c r="AK70" s="90"/>
      <c r="AM70" s="90"/>
      <c r="AN70" s="90">
        <v>4</v>
      </c>
      <c r="AO70" s="92" t="s">
        <v>71</v>
      </c>
      <c r="AP70" s="92" t="s">
        <v>39</v>
      </c>
      <c r="AQ70" s="92"/>
      <c r="AR70" s="90"/>
      <c r="AT70" s="90" t="s">
        <v>556</v>
      </c>
      <c r="AU70" s="90">
        <v>4</v>
      </c>
      <c r="AV70" s="92" t="s">
        <v>78</v>
      </c>
      <c r="AW70" s="92" t="s">
        <v>587</v>
      </c>
      <c r="AX70" s="92"/>
      <c r="AY70" s="90"/>
      <c r="BA70" s="90" t="s">
        <v>273</v>
      </c>
      <c r="BB70" s="90">
        <v>4</v>
      </c>
      <c r="BC70" s="92" t="s">
        <v>584</v>
      </c>
      <c r="BD70" s="92" t="s">
        <v>8</v>
      </c>
      <c r="BE70" s="92"/>
      <c r="BF70" s="92"/>
      <c r="BH70" s="90" t="s">
        <v>578</v>
      </c>
      <c r="BI70" s="90">
        <v>4</v>
      </c>
      <c r="BJ70" s="92" t="s">
        <v>66</v>
      </c>
      <c r="BK70" s="92" t="s">
        <v>72</v>
      </c>
      <c r="BL70" s="92"/>
      <c r="BM70" s="92"/>
      <c r="BN70" s="92"/>
      <c r="BO70" s="90"/>
      <c r="BQ70" s="90"/>
      <c r="BR70" s="90">
        <v>4</v>
      </c>
      <c r="BS70" s="92" t="s">
        <v>533</v>
      </c>
      <c r="BT70" s="92" t="s">
        <v>557</v>
      </c>
      <c r="BU70" s="92"/>
      <c r="BV70" s="90"/>
      <c r="BX70" s="90" t="s">
        <v>670</v>
      </c>
      <c r="BY70" s="90">
        <v>4</v>
      </c>
      <c r="BZ70" s="92" t="s">
        <v>263</v>
      </c>
      <c r="CA70" s="92" t="s">
        <v>43</v>
      </c>
      <c r="CB70" s="92"/>
      <c r="CC70" s="90"/>
      <c r="CD70" s="90"/>
      <c r="CE70" s="90"/>
      <c r="CF70" s="90"/>
      <c r="CH70" s="90"/>
      <c r="CI70" s="90">
        <v>4</v>
      </c>
      <c r="CJ70" s="92" t="s">
        <v>66</v>
      </c>
      <c r="CK70" s="92" t="s">
        <v>111</v>
      </c>
      <c r="CL70" s="92"/>
      <c r="CM70" s="90"/>
      <c r="CO70" s="93" t="s">
        <v>657</v>
      </c>
      <c r="CP70" s="93">
        <v>4</v>
      </c>
      <c r="CQ70" s="96" t="s">
        <v>141</v>
      </c>
      <c r="CR70" s="96" t="s">
        <v>65</v>
      </c>
      <c r="CS70" s="96"/>
      <c r="CT70" s="93"/>
    </row>
    <row r="71" spans="1:98">
      <c r="A71" s="90"/>
      <c r="B71" s="90"/>
      <c r="C71" s="92">
        <v>0</v>
      </c>
      <c r="D71" s="92">
        <v>0</v>
      </c>
      <c r="E71" s="92">
        <v>1</v>
      </c>
      <c r="F71" s="90"/>
      <c r="G71" s="90"/>
      <c r="H71" s="90"/>
      <c r="I71" s="90"/>
      <c r="J71" s="90"/>
      <c r="L71" s="90"/>
      <c r="M71" s="90"/>
      <c r="N71" s="92">
        <v>0</v>
      </c>
      <c r="O71" s="92">
        <v>2</v>
      </c>
      <c r="P71" s="92"/>
      <c r="Q71" s="90"/>
      <c r="R71" s="90"/>
      <c r="S71" s="90"/>
      <c r="U71" s="90"/>
      <c r="V71" s="90"/>
      <c r="W71" s="92">
        <v>0</v>
      </c>
      <c r="X71" s="92">
        <v>2</v>
      </c>
      <c r="Y71" s="92"/>
      <c r="Z71" s="92"/>
      <c r="AA71" s="92"/>
      <c r="AB71" s="90"/>
      <c r="AD71" s="90"/>
      <c r="AE71" s="90"/>
      <c r="AF71" s="92">
        <v>1</v>
      </c>
      <c r="AG71" s="92">
        <v>0</v>
      </c>
      <c r="AH71" s="92"/>
      <c r="AI71" s="90"/>
      <c r="AJ71" s="90"/>
      <c r="AK71" s="90"/>
      <c r="AM71" s="90"/>
      <c r="AN71" s="90"/>
      <c r="AO71" s="92">
        <v>3</v>
      </c>
      <c r="AP71" s="92">
        <v>0</v>
      </c>
      <c r="AQ71" s="92"/>
      <c r="AR71" s="90"/>
      <c r="AT71" s="90"/>
      <c r="AU71" s="90"/>
      <c r="AV71" s="92">
        <v>-1</v>
      </c>
      <c r="AW71" s="92">
        <v>1</v>
      </c>
      <c r="AX71" s="92"/>
      <c r="AY71" s="90"/>
      <c r="BA71" s="90"/>
      <c r="BB71" s="90"/>
      <c r="BC71" s="92">
        <v>2</v>
      </c>
      <c r="BD71" s="92">
        <v>0</v>
      </c>
      <c r="BE71" s="92"/>
      <c r="BF71" s="92"/>
      <c r="BH71" s="90"/>
      <c r="BI71" s="90"/>
      <c r="BJ71" s="92">
        <v>-3</v>
      </c>
      <c r="BK71" s="92">
        <v>3</v>
      </c>
      <c r="BL71" s="92"/>
      <c r="BM71" s="92"/>
      <c r="BN71" s="92"/>
      <c r="BO71" s="90"/>
      <c r="BQ71" s="90"/>
      <c r="BR71" s="90"/>
      <c r="BS71" s="92">
        <v>0</v>
      </c>
      <c r="BT71" s="92">
        <v>1</v>
      </c>
      <c r="BU71" s="92"/>
      <c r="BV71" s="90"/>
      <c r="BX71" s="90"/>
      <c r="BY71" s="90"/>
      <c r="BZ71" s="92">
        <v>1</v>
      </c>
      <c r="CA71" s="92">
        <v>0</v>
      </c>
      <c r="CB71" s="92"/>
      <c r="CC71" s="90"/>
      <c r="CD71" s="90"/>
      <c r="CE71" s="90"/>
      <c r="CF71" s="90"/>
      <c r="CH71" s="90"/>
      <c r="CI71" s="90"/>
      <c r="CJ71" s="92">
        <v>0</v>
      </c>
      <c r="CK71" s="92">
        <v>2</v>
      </c>
      <c r="CL71" s="92"/>
      <c r="CM71" s="90"/>
      <c r="CO71" s="93"/>
      <c r="CP71" s="93"/>
      <c r="CQ71" s="96">
        <v>2</v>
      </c>
      <c r="CR71" s="96">
        <v>0</v>
      </c>
      <c r="CS71" s="96"/>
      <c r="CT71" s="93"/>
    </row>
    <row r="72" spans="1:98">
      <c r="A72" s="90" t="s">
        <v>554</v>
      </c>
      <c r="B72" s="90">
        <v>5</v>
      </c>
      <c r="C72" s="92" t="s">
        <v>46</v>
      </c>
      <c r="D72" s="92" t="s">
        <v>75</v>
      </c>
      <c r="E72" s="92"/>
      <c r="F72" s="90"/>
      <c r="G72" s="90"/>
      <c r="H72" s="90"/>
      <c r="I72" s="90"/>
      <c r="J72" s="90"/>
      <c r="L72" s="90" t="s">
        <v>578</v>
      </c>
      <c r="M72" s="90">
        <v>5</v>
      </c>
      <c r="N72" s="92" t="s">
        <v>1</v>
      </c>
      <c r="O72" s="92" t="s">
        <v>144</v>
      </c>
      <c r="P72" s="92"/>
      <c r="Q72" s="90"/>
      <c r="R72" s="90"/>
      <c r="S72" s="90"/>
      <c r="U72" s="90" t="s">
        <v>829</v>
      </c>
      <c r="V72" s="90">
        <v>5</v>
      </c>
      <c r="W72" s="92" t="s">
        <v>141</v>
      </c>
      <c r="X72" s="92" t="s">
        <v>65</v>
      </c>
      <c r="Y72" s="92"/>
      <c r="Z72" s="92"/>
      <c r="AA72" s="92"/>
      <c r="AB72" s="90"/>
      <c r="AD72" s="90" t="s">
        <v>555</v>
      </c>
      <c r="AE72" s="90">
        <v>5</v>
      </c>
      <c r="AF72" s="92" t="s">
        <v>71</v>
      </c>
      <c r="AG72" s="92" t="s">
        <v>61</v>
      </c>
      <c r="AH72" s="92"/>
      <c r="AI72" s="90"/>
      <c r="AJ72" s="90"/>
      <c r="AK72" s="90"/>
      <c r="AM72" s="90" t="s">
        <v>582</v>
      </c>
      <c r="AN72" s="90">
        <v>5</v>
      </c>
      <c r="AO72" s="92" t="s">
        <v>75</v>
      </c>
      <c r="AP72" s="92" t="s">
        <v>49</v>
      </c>
      <c r="AQ72" s="92"/>
      <c r="AR72" s="90"/>
      <c r="AT72" s="90" t="s">
        <v>136</v>
      </c>
      <c r="AU72" s="90">
        <v>5</v>
      </c>
      <c r="AV72" s="92" t="s">
        <v>67</v>
      </c>
      <c r="AW72" s="122" t="s">
        <v>47</v>
      </c>
      <c r="AX72" s="92" t="s">
        <v>151</v>
      </c>
      <c r="AY72" s="92" t="s">
        <v>112</v>
      </c>
      <c r="BA72" s="90" t="s">
        <v>275</v>
      </c>
      <c r="BB72" s="90">
        <v>5</v>
      </c>
      <c r="BC72" s="92" t="s">
        <v>60</v>
      </c>
      <c r="BD72" s="92" t="s">
        <v>61</v>
      </c>
      <c r="BE72" s="92" t="s">
        <v>138</v>
      </c>
      <c r="BF72" s="92"/>
      <c r="BH72" s="90" t="s">
        <v>657</v>
      </c>
      <c r="BI72" s="90">
        <v>5</v>
      </c>
      <c r="BJ72" s="92" t="s">
        <v>61</v>
      </c>
      <c r="BK72" s="92" t="s">
        <v>151</v>
      </c>
      <c r="BL72" s="92"/>
      <c r="BM72" s="92"/>
      <c r="BN72" s="92"/>
      <c r="BO72" s="90"/>
      <c r="BQ72" s="90" t="s">
        <v>555</v>
      </c>
      <c r="BR72" s="90">
        <v>5</v>
      </c>
      <c r="BS72" s="92" t="s">
        <v>53</v>
      </c>
      <c r="BT72" s="92" t="s">
        <v>263</v>
      </c>
      <c r="BU72" s="92"/>
      <c r="BV72" s="90"/>
      <c r="BX72" s="90" t="s">
        <v>581</v>
      </c>
      <c r="BY72" s="90">
        <v>5</v>
      </c>
      <c r="BZ72" s="92" t="s">
        <v>72</v>
      </c>
      <c r="CA72" s="92" t="s">
        <v>53</v>
      </c>
      <c r="CB72" s="92"/>
      <c r="CC72" s="90"/>
      <c r="CD72" s="90"/>
      <c r="CE72" s="90"/>
      <c r="CF72" s="90"/>
      <c r="CH72" s="90" t="s">
        <v>554</v>
      </c>
      <c r="CI72" s="90">
        <v>5</v>
      </c>
      <c r="CJ72" s="92" t="s">
        <v>566</v>
      </c>
      <c r="CK72" s="92" t="s">
        <v>78</v>
      </c>
      <c r="CL72" s="92"/>
      <c r="CM72" s="90"/>
      <c r="CO72" s="93" t="s">
        <v>657</v>
      </c>
      <c r="CP72" s="93">
        <v>5</v>
      </c>
      <c r="CQ72" s="96" t="s">
        <v>8</v>
      </c>
      <c r="CR72" s="96" t="s">
        <v>263</v>
      </c>
      <c r="CS72" s="96"/>
      <c r="CT72" s="93"/>
    </row>
    <row r="73" spans="1:98">
      <c r="A73" s="90"/>
      <c r="B73" s="90"/>
      <c r="C73" s="92">
        <v>0</v>
      </c>
      <c r="D73" s="92">
        <v>1</v>
      </c>
      <c r="E73" s="92"/>
      <c r="F73" s="90"/>
      <c r="G73" s="90"/>
      <c r="H73" s="90"/>
      <c r="I73" s="90"/>
      <c r="J73" s="90"/>
      <c r="L73" s="90"/>
      <c r="M73" s="90"/>
      <c r="N73" s="92">
        <v>-3</v>
      </c>
      <c r="O73" s="92">
        <v>3</v>
      </c>
      <c r="P73" s="92"/>
      <c r="Q73" s="90"/>
      <c r="R73" s="90"/>
      <c r="S73" s="90"/>
      <c r="U73" s="90"/>
      <c r="V73" s="90"/>
      <c r="W73" s="92">
        <v>1</v>
      </c>
      <c r="X73" s="92">
        <v>0</v>
      </c>
      <c r="Y73" s="92"/>
      <c r="Z73" s="92"/>
      <c r="AA73" s="92"/>
      <c r="AB73" s="90"/>
      <c r="AD73" s="90"/>
      <c r="AE73" s="90"/>
      <c r="AF73" s="92">
        <v>2</v>
      </c>
      <c r="AG73" s="92">
        <v>0</v>
      </c>
      <c r="AH73" s="92"/>
      <c r="AI73" s="90"/>
      <c r="AJ73" s="90"/>
      <c r="AK73" s="90"/>
      <c r="AM73" s="90"/>
      <c r="AN73" s="90"/>
      <c r="AO73" s="92">
        <v>1</v>
      </c>
      <c r="AP73" s="92">
        <v>0</v>
      </c>
      <c r="AQ73" s="92"/>
      <c r="AR73" s="90"/>
      <c r="AT73" s="90"/>
      <c r="AU73" s="90"/>
      <c r="AV73" s="92">
        <v>0</v>
      </c>
      <c r="AW73" s="92">
        <v>0</v>
      </c>
      <c r="AX73" s="92">
        <v>1</v>
      </c>
      <c r="AY73" s="92">
        <v>3</v>
      </c>
      <c r="BA73" s="90" t="s">
        <v>646</v>
      </c>
      <c r="BB73" s="90"/>
      <c r="BC73" s="92">
        <v>0</v>
      </c>
      <c r="BD73" s="92">
        <v>0</v>
      </c>
      <c r="BE73" s="92">
        <v>1</v>
      </c>
      <c r="BF73" s="92"/>
      <c r="BH73" s="90"/>
      <c r="BI73" s="90"/>
      <c r="BJ73" s="92">
        <v>0</v>
      </c>
      <c r="BK73" s="92">
        <v>3</v>
      </c>
      <c r="BL73" s="92"/>
      <c r="BM73" s="92"/>
      <c r="BN73" s="92"/>
      <c r="BO73" s="90"/>
      <c r="BQ73" s="90"/>
      <c r="BR73" s="90"/>
      <c r="BS73" s="92">
        <v>0</v>
      </c>
      <c r="BT73" s="92">
        <v>1</v>
      </c>
      <c r="BU73" s="92"/>
      <c r="BV73" s="90"/>
      <c r="BX73" s="90"/>
      <c r="BY73" s="90"/>
      <c r="BZ73" s="92">
        <v>1</v>
      </c>
      <c r="CA73" s="92">
        <v>0</v>
      </c>
      <c r="CB73" s="92"/>
      <c r="CC73" s="90"/>
      <c r="CD73" s="90"/>
      <c r="CE73" s="90"/>
      <c r="CF73" s="90"/>
      <c r="CH73" s="90"/>
      <c r="CI73" s="90"/>
      <c r="CJ73" s="92">
        <v>1</v>
      </c>
      <c r="CK73" s="92">
        <v>0</v>
      </c>
      <c r="CL73" s="92"/>
      <c r="CM73" s="90"/>
      <c r="CO73" s="93"/>
      <c r="CP73" s="93"/>
      <c r="CQ73" s="96">
        <v>0</v>
      </c>
      <c r="CR73" s="96">
        <v>2</v>
      </c>
      <c r="CS73" s="96"/>
      <c r="CT73" s="93"/>
    </row>
    <row r="74" spans="1:98">
      <c r="CO74" s="32"/>
      <c r="CP74" s="32"/>
      <c r="CQ74" s="32"/>
      <c r="CR74" s="32"/>
      <c r="CS74" s="32"/>
      <c r="CT74" s="32"/>
    </row>
    <row r="75" spans="1:98" ht="21">
      <c r="A75" s="10"/>
      <c r="B75" s="11" t="s">
        <v>69</v>
      </c>
      <c r="C75" s="103" t="s">
        <v>456</v>
      </c>
      <c r="D75" s="12"/>
      <c r="E75" s="10"/>
      <c r="F75" s="10"/>
      <c r="G75" s="10"/>
      <c r="H75" s="10"/>
      <c r="I75" s="10"/>
      <c r="J75" s="10"/>
      <c r="L75" s="10"/>
      <c r="M75" s="11" t="s">
        <v>69</v>
      </c>
      <c r="N75" s="103" t="s">
        <v>462</v>
      </c>
      <c r="O75" s="12"/>
      <c r="P75" s="10"/>
      <c r="Q75" s="10"/>
      <c r="R75" s="10"/>
      <c r="S75" s="10"/>
      <c r="U75" s="10"/>
      <c r="V75" s="11" t="s">
        <v>69</v>
      </c>
      <c r="W75" s="103" t="s">
        <v>133</v>
      </c>
      <c r="X75" s="12"/>
      <c r="Y75" s="10"/>
      <c r="Z75" s="10"/>
      <c r="AA75" s="10"/>
      <c r="AB75" s="10"/>
      <c r="AD75" s="10"/>
      <c r="AE75" s="11" t="s">
        <v>69</v>
      </c>
      <c r="AF75" s="103" t="s">
        <v>180</v>
      </c>
      <c r="AG75" s="12"/>
      <c r="AH75" s="10"/>
      <c r="AI75" s="10"/>
      <c r="AJ75" s="10"/>
      <c r="AK75" s="10"/>
      <c r="AM75" s="10"/>
      <c r="AN75" s="11" t="s">
        <v>69</v>
      </c>
      <c r="AO75" s="103" t="s">
        <v>468</v>
      </c>
      <c r="AP75" s="12"/>
      <c r="AQ75" s="10"/>
      <c r="AR75" s="10"/>
      <c r="AT75" s="10"/>
      <c r="AU75" s="11" t="s">
        <v>69</v>
      </c>
      <c r="AV75" s="103" t="s">
        <v>476</v>
      </c>
      <c r="AW75" s="12"/>
      <c r="AX75" s="10"/>
      <c r="AY75" s="10"/>
      <c r="BA75" s="10"/>
      <c r="BB75" s="11" t="s">
        <v>69</v>
      </c>
      <c r="BC75" s="103" t="s">
        <v>485</v>
      </c>
      <c r="BD75" s="12"/>
      <c r="BE75" s="10"/>
      <c r="BF75" s="12"/>
      <c r="BH75" s="10"/>
      <c r="BI75" s="11" t="s">
        <v>69</v>
      </c>
      <c r="BJ75" s="103" t="s">
        <v>490</v>
      </c>
      <c r="BK75" s="12"/>
      <c r="BL75" s="10"/>
      <c r="BM75" s="10"/>
      <c r="BN75" s="10"/>
      <c r="BO75" s="10"/>
      <c r="BQ75" s="10"/>
      <c r="BR75" s="11" t="s">
        <v>69</v>
      </c>
      <c r="BS75" s="103" t="s">
        <v>497</v>
      </c>
      <c r="BT75" s="12"/>
      <c r="BU75" s="10"/>
      <c r="BV75" s="10"/>
      <c r="BX75" s="10"/>
      <c r="BY75" s="11" t="s">
        <v>69</v>
      </c>
      <c r="BZ75" s="103" t="s">
        <v>504</v>
      </c>
      <c r="CA75" s="12"/>
      <c r="CB75" s="10"/>
      <c r="CC75" s="10"/>
      <c r="CD75" s="10"/>
      <c r="CE75" s="10"/>
      <c r="CF75" s="10"/>
      <c r="CH75" s="10"/>
      <c r="CI75" s="11" t="s">
        <v>69</v>
      </c>
      <c r="CJ75" s="103" t="s">
        <v>879</v>
      </c>
      <c r="CK75" s="12"/>
      <c r="CL75" s="10"/>
      <c r="CM75" s="10"/>
      <c r="CO75" s="34"/>
      <c r="CP75" s="35" t="s">
        <v>69</v>
      </c>
      <c r="CQ75" s="36" t="s">
        <v>177</v>
      </c>
      <c r="CR75" s="37"/>
      <c r="CS75" s="34"/>
      <c r="CT75" s="34"/>
    </row>
    <row r="76" spans="1:98">
      <c r="A76" s="10"/>
      <c r="B76" s="10">
        <v>1</v>
      </c>
      <c r="C76" s="12" t="s">
        <v>57</v>
      </c>
      <c r="D76" s="12" t="s">
        <v>117</v>
      </c>
      <c r="E76" s="12"/>
      <c r="F76" s="10"/>
      <c r="G76" s="10"/>
      <c r="H76" s="10"/>
      <c r="I76" s="10"/>
      <c r="J76" s="10"/>
      <c r="L76" s="10"/>
      <c r="M76" s="10">
        <v>1</v>
      </c>
      <c r="N76" s="12" t="s">
        <v>56</v>
      </c>
      <c r="O76" s="12" t="s">
        <v>166</v>
      </c>
      <c r="P76" s="12"/>
      <c r="Q76" s="10"/>
      <c r="R76" s="10"/>
      <c r="S76" s="10"/>
      <c r="U76" s="10"/>
      <c r="V76" s="10">
        <v>1</v>
      </c>
      <c r="W76" s="12" t="s">
        <v>291</v>
      </c>
      <c r="X76" s="12" t="s">
        <v>568</v>
      </c>
      <c r="Y76" s="12"/>
      <c r="Z76" s="12"/>
      <c r="AA76" s="12"/>
      <c r="AB76" s="10"/>
      <c r="AD76" s="10" t="s">
        <v>220</v>
      </c>
      <c r="AE76" s="10">
        <v>1</v>
      </c>
      <c r="AF76" s="12" t="s">
        <v>124</v>
      </c>
      <c r="AG76" s="12" t="s">
        <v>291</v>
      </c>
      <c r="AH76" s="12"/>
      <c r="AI76" s="10"/>
      <c r="AJ76" s="10"/>
      <c r="AK76" s="10"/>
      <c r="AM76" s="10"/>
      <c r="AN76" s="10">
        <v>1</v>
      </c>
      <c r="AO76" s="12" t="s">
        <v>568</v>
      </c>
      <c r="AP76" s="12" t="s">
        <v>52</v>
      </c>
      <c r="AQ76" s="12"/>
      <c r="AR76" s="10"/>
      <c r="AT76" s="10"/>
      <c r="AU76" s="10">
        <v>1</v>
      </c>
      <c r="AV76" s="12" t="s">
        <v>83</v>
      </c>
      <c r="AW76" s="12" t="s">
        <v>56</v>
      </c>
      <c r="AX76" s="12"/>
      <c r="AY76" s="10"/>
      <c r="BA76" s="10"/>
      <c r="BB76" s="10">
        <v>1</v>
      </c>
      <c r="BC76" s="12" t="s">
        <v>166</v>
      </c>
      <c r="BD76" s="12" t="s">
        <v>57</v>
      </c>
      <c r="BE76" s="12"/>
      <c r="BF76" s="12"/>
      <c r="BH76" s="10"/>
      <c r="BI76" s="10">
        <v>1</v>
      </c>
      <c r="BJ76" s="12" t="s">
        <v>22</v>
      </c>
      <c r="BK76" s="12" t="s">
        <v>603</v>
      </c>
      <c r="BL76" s="12"/>
      <c r="BM76" s="12"/>
      <c r="BN76" s="12"/>
      <c r="BO76" s="10"/>
      <c r="BQ76" s="10"/>
      <c r="BR76" s="10">
        <v>1</v>
      </c>
      <c r="BS76" s="12" t="s">
        <v>291</v>
      </c>
      <c r="BT76" s="12" t="s">
        <v>166</v>
      </c>
      <c r="BU76" s="12"/>
      <c r="BV76" s="10"/>
      <c r="BX76" s="10"/>
      <c r="BY76" s="10">
        <v>1</v>
      </c>
      <c r="BZ76" s="12" t="s">
        <v>23</v>
      </c>
      <c r="CA76" s="12" t="s">
        <v>145</v>
      </c>
      <c r="CB76" s="12"/>
      <c r="CC76" s="10"/>
      <c r="CD76" s="10"/>
      <c r="CE76" s="10"/>
      <c r="CF76" s="10"/>
      <c r="CH76" s="10"/>
      <c r="CI76" s="10">
        <v>1</v>
      </c>
      <c r="CJ76" s="12" t="s">
        <v>195</v>
      </c>
      <c r="CK76" s="12" t="s">
        <v>54</v>
      </c>
      <c r="CL76" s="12"/>
      <c r="CM76" s="10"/>
      <c r="CO76" s="34" t="s">
        <v>140</v>
      </c>
      <c r="CP76" s="34">
        <v>1</v>
      </c>
      <c r="CQ76" s="37" t="s">
        <v>92</v>
      </c>
      <c r="CR76" s="37" t="s">
        <v>57</v>
      </c>
      <c r="CS76" s="37"/>
      <c r="CT76" s="34"/>
    </row>
    <row r="77" spans="1:98">
      <c r="A77" s="10"/>
      <c r="B77" s="10"/>
      <c r="C77" s="12">
        <v>0</v>
      </c>
      <c r="D77" s="12">
        <v>2</v>
      </c>
      <c r="E77" s="12"/>
      <c r="F77" s="10"/>
      <c r="G77" s="10"/>
      <c r="H77" s="10"/>
      <c r="I77" s="10"/>
      <c r="J77" s="10"/>
      <c r="L77" s="10"/>
      <c r="M77" s="10"/>
      <c r="N77" s="12">
        <v>0</v>
      </c>
      <c r="O77" s="12">
        <v>2</v>
      </c>
      <c r="P77" s="12"/>
      <c r="Q77" s="10"/>
      <c r="R77" s="10"/>
      <c r="S77" s="10"/>
      <c r="U77" s="10"/>
      <c r="V77" s="10"/>
      <c r="W77" s="12">
        <v>0</v>
      </c>
      <c r="X77" s="12">
        <v>2</v>
      </c>
      <c r="Y77" s="12"/>
      <c r="Z77" s="12"/>
      <c r="AA77" s="12"/>
      <c r="AB77" s="10"/>
      <c r="AD77" s="10"/>
      <c r="AE77" s="10"/>
      <c r="AF77" s="12">
        <v>3</v>
      </c>
      <c r="AG77" s="12">
        <v>0</v>
      </c>
      <c r="AH77" s="12"/>
      <c r="AI77" s="10"/>
      <c r="AJ77" s="10"/>
      <c r="AK77" s="10"/>
      <c r="AM77" s="10" t="s">
        <v>610</v>
      </c>
      <c r="AN77" s="10"/>
      <c r="AO77" s="12">
        <v>3</v>
      </c>
      <c r="AP77" s="12">
        <v>0</v>
      </c>
      <c r="AQ77" s="12"/>
      <c r="AR77" s="10"/>
      <c r="AT77" s="10"/>
      <c r="AU77" s="10"/>
      <c r="AV77" s="12">
        <v>1</v>
      </c>
      <c r="AW77" s="12">
        <v>0</v>
      </c>
      <c r="AX77" s="12"/>
      <c r="AY77" s="10"/>
      <c r="BA77" s="10"/>
      <c r="BB77" s="10"/>
      <c r="BC77" s="12">
        <v>2</v>
      </c>
      <c r="BD77" s="12">
        <v>0</v>
      </c>
      <c r="BE77" s="12"/>
      <c r="BF77" s="12"/>
      <c r="BH77" s="10"/>
      <c r="BI77" s="10"/>
      <c r="BJ77" s="12">
        <v>0</v>
      </c>
      <c r="BK77" s="12">
        <v>1</v>
      </c>
      <c r="BL77" s="12"/>
      <c r="BM77" s="12"/>
      <c r="BN77" s="12"/>
      <c r="BO77" s="10"/>
      <c r="BQ77" s="10"/>
      <c r="BR77" s="10"/>
      <c r="BS77" s="12">
        <v>0</v>
      </c>
      <c r="BT77" s="12">
        <v>1</v>
      </c>
      <c r="BU77" s="12"/>
      <c r="BV77" s="10"/>
      <c r="BX77" s="10"/>
      <c r="BY77" s="10"/>
      <c r="BZ77" s="12">
        <v>0</v>
      </c>
      <c r="CA77" s="12">
        <v>1</v>
      </c>
      <c r="CB77" s="12"/>
      <c r="CC77" s="10"/>
      <c r="CD77" s="10"/>
      <c r="CE77" s="10"/>
      <c r="CF77" s="10"/>
      <c r="CH77" s="10"/>
      <c r="CI77" s="10"/>
      <c r="CJ77" s="12">
        <v>3</v>
      </c>
      <c r="CK77" s="12">
        <v>0</v>
      </c>
      <c r="CL77" s="12"/>
      <c r="CM77" s="10"/>
      <c r="CO77" s="34"/>
      <c r="CP77" s="34"/>
      <c r="CQ77" s="37">
        <v>1</v>
      </c>
      <c r="CR77" s="37">
        <v>0</v>
      </c>
      <c r="CS77" s="37"/>
      <c r="CT77" s="34"/>
    </row>
    <row r="78" spans="1:98">
      <c r="A78" s="10" t="s">
        <v>140</v>
      </c>
      <c r="B78" s="10">
        <v>2</v>
      </c>
      <c r="C78" s="12" t="s">
        <v>6</v>
      </c>
      <c r="D78" s="12" t="s">
        <v>568</v>
      </c>
      <c r="E78" s="12"/>
      <c r="F78" s="10"/>
      <c r="G78" s="10"/>
      <c r="H78" s="10"/>
      <c r="I78" s="10"/>
      <c r="J78" s="10"/>
      <c r="L78" s="10"/>
      <c r="M78" s="10">
        <v>2</v>
      </c>
      <c r="N78" s="12" t="s">
        <v>57</v>
      </c>
      <c r="O78" s="12" t="s">
        <v>580</v>
      </c>
      <c r="P78" s="12"/>
      <c r="Q78" s="10"/>
      <c r="R78" s="10"/>
      <c r="S78" s="10"/>
      <c r="U78" s="10"/>
      <c r="V78" s="10">
        <v>2</v>
      </c>
      <c r="W78" s="12" t="s">
        <v>22</v>
      </c>
      <c r="X78" s="12" t="s">
        <v>587</v>
      </c>
      <c r="Y78" s="12"/>
      <c r="Z78" s="12"/>
      <c r="AA78" s="12"/>
      <c r="AB78" s="10"/>
      <c r="AD78" s="10"/>
      <c r="AE78" s="10">
        <v>2</v>
      </c>
      <c r="AF78" s="12" t="s">
        <v>6</v>
      </c>
      <c r="AG78" s="12" t="s">
        <v>83</v>
      </c>
      <c r="AH78" s="12"/>
      <c r="AI78" s="10"/>
      <c r="AJ78" s="10"/>
      <c r="AK78" s="10"/>
      <c r="AM78" s="10"/>
      <c r="AN78" s="10">
        <v>2</v>
      </c>
      <c r="AO78" s="12" t="s">
        <v>83</v>
      </c>
      <c r="AP78" s="12" t="s">
        <v>14</v>
      </c>
      <c r="AQ78" s="12"/>
      <c r="AR78" s="10"/>
      <c r="AT78" s="10"/>
      <c r="AU78" s="10">
        <v>2</v>
      </c>
      <c r="AV78" s="12" t="s">
        <v>145</v>
      </c>
      <c r="AW78" s="12" t="s">
        <v>37</v>
      </c>
      <c r="AX78" s="12"/>
      <c r="AY78" s="10"/>
      <c r="BA78" s="10"/>
      <c r="BB78" s="10">
        <v>2</v>
      </c>
      <c r="BC78" s="12" t="s">
        <v>76</v>
      </c>
      <c r="BD78" s="12" t="s">
        <v>544</v>
      </c>
      <c r="BE78" s="12"/>
      <c r="BF78" s="12"/>
      <c r="BH78" s="10"/>
      <c r="BI78" s="10">
        <v>2</v>
      </c>
      <c r="BJ78" s="12" t="s">
        <v>150</v>
      </c>
      <c r="BK78" s="12" t="s">
        <v>52</v>
      </c>
      <c r="BL78" s="12"/>
      <c r="BM78" s="12"/>
      <c r="BN78" s="12"/>
      <c r="BO78" s="10"/>
      <c r="BQ78" s="10"/>
      <c r="BR78" s="10">
        <v>2</v>
      </c>
      <c r="BS78" s="12" t="s">
        <v>36</v>
      </c>
      <c r="BT78" s="12" t="s">
        <v>150</v>
      </c>
      <c r="BU78" s="12"/>
      <c r="BV78" s="10"/>
      <c r="BX78" s="10"/>
      <c r="BY78" s="10">
        <v>2</v>
      </c>
      <c r="BZ78" s="12" t="s">
        <v>22</v>
      </c>
      <c r="CA78" s="12" t="s">
        <v>92</v>
      </c>
      <c r="CB78" s="12"/>
      <c r="CC78" s="10"/>
      <c r="CD78" s="10"/>
      <c r="CE78" s="10"/>
      <c r="CF78" s="10"/>
      <c r="CH78" s="10"/>
      <c r="CI78" s="10">
        <v>2</v>
      </c>
      <c r="CJ78" s="12" t="s">
        <v>251</v>
      </c>
      <c r="CK78" s="12" t="s">
        <v>23</v>
      </c>
      <c r="CL78" s="12"/>
      <c r="CM78" s="10"/>
      <c r="CO78" s="34"/>
      <c r="CP78" s="34">
        <v>2</v>
      </c>
      <c r="CQ78" s="37" t="s">
        <v>40</v>
      </c>
      <c r="CR78" s="37" t="s">
        <v>195</v>
      </c>
      <c r="CS78" s="37"/>
      <c r="CT78" s="34"/>
    </row>
    <row r="79" spans="1:98">
      <c r="A79" s="10"/>
      <c r="B79" s="10"/>
      <c r="C79" s="12">
        <v>0</v>
      </c>
      <c r="D79" s="12">
        <v>1</v>
      </c>
      <c r="E79" s="12"/>
      <c r="F79" s="10"/>
      <c r="G79" s="10"/>
      <c r="H79" s="10"/>
      <c r="I79" s="10"/>
      <c r="J79" s="10"/>
      <c r="L79" s="10"/>
      <c r="M79" s="10"/>
      <c r="N79" s="12">
        <v>0</v>
      </c>
      <c r="O79" s="12">
        <v>1</v>
      </c>
      <c r="P79" s="12"/>
      <c r="Q79" s="10"/>
      <c r="R79" s="10"/>
      <c r="S79" s="10"/>
      <c r="U79" s="10"/>
      <c r="V79" s="10"/>
      <c r="W79" s="12">
        <v>0</v>
      </c>
      <c r="X79" s="12">
        <v>1</v>
      </c>
      <c r="Y79" s="12"/>
      <c r="Z79" s="12"/>
      <c r="AA79" s="12"/>
      <c r="AB79" s="10"/>
      <c r="AD79" s="10"/>
      <c r="AE79" s="10"/>
      <c r="AF79" s="12">
        <v>0</v>
      </c>
      <c r="AG79" s="12">
        <v>1</v>
      </c>
      <c r="AH79" s="12"/>
      <c r="AI79" s="10"/>
      <c r="AJ79" s="10"/>
      <c r="AK79" s="10"/>
      <c r="AM79" s="10"/>
      <c r="AN79" s="10"/>
      <c r="AO79" s="12">
        <v>1</v>
      </c>
      <c r="AP79" s="12">
        <v>0</v>
      </c>
      <c r="AQ79" s="12"/>
      <c r="AR79" s="10"/>
      <c r="AT79" s="10"/>
      <c r="AU79" s="10"/>
      <c r="AV79" s="12">
        <v>1</v>
      </c>
      <c r="AW79" s="12">
        <v>0</v>
      </c>
      <c r="AX79" s="12"/>
      <c r="AY79" s="10"/>
      <c r="BA79" s="10"/>
      <c r="BB79" s="10"/>
      <c r="BC79" s="12">
        <v>0</v>
      </c>
      <c r="BD79" s="12">
        <v>1</v>
      </c>
      <c r="BE79" s="12"/>
      <c r="BF79" s="12"/>
      <c r="BH79" s="10"/>
      <c r="BI79" s="10"/>
      <c r="BJ79" s="12">
        <v>1</v>
      </c>
      <c r="BK79" s="12">
        <v>0</v>
      </c>
      <c r="BL79" s="12"/>
      <c r="BM79" s="12"/>
      <c r="BN79" s="12"/>
      <c r="BO79" s="10"/>
      <c r="BQ79" s="10"/>
      <c r="BR79" s="10"/>
      <c r="BS79" s="12">
        <v>0</v>
      </c>
      <c r="BT79" s="12">
        <v>3</v>
      </c>
      <c r="BU79" s="12"/>
      <c r="BV79" s="10"/>
      <c r="BX79" s="10"/>
      <c r="BY79" s="10"/>
      <c r="BZ79" s="12">
        <v>0</v>
      </c>
      <c r="CA79" s="12">
        <v>1</v>
      </c>
      <c r="CB79" s="12"/>
      <c r="CC79" s="10"/>
      <c r="CD79" s="10"/>
      <c r="CE79" s="10"/>
      <c r="CF79" s="10"/>
      <c r="CH79" s="10"/>
      <c r="CI79" s="10"/>
      <c r="CJ79" s="12">
        <v>1</v>
      </c>
      <c r="CK79" s="12">
        <v>0</v>
      </c>
      <c r="CL79" s="12"/>
      <c r="CM79" s="10"/>
      <c r="CO79" s="34"/>
      <c r="CP79" s="34"/>
      <c r="CQ79" s="37">
        <v>0</v>
      </c>
      <c r="CR79" s="37">
        <v>3</v>
      </c>
      <c r="CS79" s="37"/>
      <c r="CT79" s="34"/>
    </row>
    <row r="80" spans="1:98">
      <c r="A80" s="10"/>
      <c r="B80" s="10">
        <v>3</v>
      </c>
      <c r="C80" s="12" t="s">
        <v>569</v>
      </c>
      <c r="D80" s="12" t="s">
        <v>20</v>
      </c>
      <c r="E80" s="10"/>
      <c r="F80" s="10"/>
      <c r="G80" s="10"/>
      <c r="H80" s="10"/>
      <c r="I80" s="10"/>
      <c r="J80" s="10"/>
      <c r="L80" s="10"/>
      <c r="M80" s="10">
        <v>3</v>
      </c>
      <c r="N80" s="12" t="s">
        <v>586</v>
      </c>
      <c r="O80" s="12" t="s">
        <v>445</v>
      </c>
      <c r="P80" s="10"/>
      <c r="Q80" s="10"/>
      <c r="R80" s="10"/>
      <c r="S80" s="10"/>
      <c r="U80" s="10"/>
      <c r="V80" s="10">
        <v>3</v>
      </c>
      <c r="W80" s="12" t="s">
        <v>124</v>
      </c>
      <c r="X80" s="12" t="s">
        <v>445</v>
      </c>
      <c r="Y80" s="10"/>
      <c r="Z80" s="10"/>
      <c r="AA80" s="10"/>
      <c r="AB80" s="10"/>
      <c r="AD80" s="10" t="s">
        <v>220</v>
      </c>
      <c r="AE80" s="10">
        <v>3</v>
      </c>
      <c r="AF80" s="12" t="s">
        <v>10</v>
      </c>
      <c r="AG80" s="12" t="s">
        <v>579</v>
      </c>
      <c r="AH80" s="10"/>
      <c r="AI80" s="10"/>
      <c r="AJ80" s="10"/>
      <c r="AK80" s="10"/>
      <c r="AM80" s="10"/>
      <c r="AN80" s="10">
        <v>3</v>
      </c>
      <c r="AO80" s="12" t="s">
        <v>22</v>
      </c>
      <c r="AP80" s="12" t="s">
        <v>569</v>
      </c>
      <c r="AQ80" s="10"/>
      <c r="AR80" s="10"/>
      <c r="AT80" s="10"/>
      <c r="AU80" s="10">
        <v>3</v>
      </c>
      <c r="AV80" s="12" t="s">
        <v>156</v>
      </c>
      <c r="AW80" s="12" t="s">
        <v>40</v>
      </c>
      <c r="AX80" s="10"/>
      <c r="AY80" s="10"/>
      <c r="BA80" s="10" t="s">
        <v>274</v>
      </c>
      <c r="BB80" s="10">
        <v>3</v>
      </c>
      <c r="BC80" s="12" t="s">
        <v>144</v>
      </c>
      <c r="BD80" s="12" t="s">
        <v>542</v>
      </c>
      <c r="BE80" s="10"/>
      <c r="BF80" s="12"/>
      <c r="BH80" s="10"/>
      <c r="BI80" s="10">
        <v>3</v>
      </c>
      <c r="BJ80" s="12" t="s">
        <v>163</v>
      </c>
      <c r="BK80" s="12" t="s">
        <v>48</v>
      </c>
      <c r="BL80" s="10"/>
      <c r="BM80" s="10"/>
      <c r="BN80" s="10"/>
      <c r="BO80" s="10"/>
      <c r="BQ80" s="10"/>
      <c r="BR80" s="10">
        <v>3</v>
      </c>
      <c r="BS80" s="12" t="s">
        <v>558</v>
      </c>
      <c r="BT80" s="12" t="s">
        <v>49</v>
      </c>
      <c r="BU80" s="10"/>
      <c r="BV80" s="10"/>
      <c r="BX80" s="10"/>
      <c r="BY80" s="10">
        <v>3</v>
      </c>
      <c r="BZ80" s="12" t="s">
        <v>4</v>
      </c>
      <c r="CA80" s="12" t="s">
        <v>144</v>
      </c>
      <c r="CB80" s="10"/>
      <c r="CC80" s="10"/>
      <c r="CD80" s="10"/>
      <c r="CE80" s="10"/>
      <c r="CF80" s="10"/>
      <c r="CH80" s="10"/>
      <c r="CI80" s="10">
        <v>3</v>
      </c>
      <c r="CJ80" s="12" t="s">
        <v>14</v>
      </c>
      <c r="CK80" s="12" t="s">
        <v>543</v>
      </c>
      <c r="CL80" s="10"/>
      <c r="CM80" s="10"/>
      <c r="CO80" s="34" t="s">
        <v>139</v>
      </c>
      <c r="CP80" s="34">
        <v>3</v>
      </c>
      <c r="CQ80" s="37" t="s">
        <v>52</v>
      </c>
      <c r="CR80" s="37" t="s">
        <v>596</v>
      </c>
      <c r="CS80" s="34"/>
      <c r="CT80" s="34"/>
    </row>
    <row r="81" spans="1:98">
      <c r="A81" s="10"/>
      <c r="B81" s="10"/>
      <c r="C81" s="12">
        <v>1</v>
      </c>
      <c r="D81" s="12">
        <v>0</v>
      </c>
      <c r="E81" s="12"/>
      <c r="F81" s="10"/>
      <c r="G81" s="10"/>
      <c r="H81" s="10"/>
      <c r="I81" s="10"/>
      <c r="J81" s="10"/>
      <c r="L81" s="10"/>
      <c r="M81" s="10"/>
      <c r="N81" s="12">
        <v>2</v>
      </c>
      <c r="O81" s="12">
        <v>0</v>
      </c>
      <c r="P81" s="12"/>
      <c r="Q81" s="10"/>
      <c r="R81" s="10"/>
      <c r="S81" s="10"/>
      <c r="U81" s="10"/>
      <c r="V81" s="10"/>
      <c r="W81" s="12">
        <v>2</v>
      </c>
      <c r="X81" s="12">
        <v>0</v>
      </c>
      <c r="Y81" s="12"/>
      <c r="Z81" s="12"/>
      <c r="AA81" s="12"/>
      <c r="AB81" s="10"/>
      <c r="AD81" s="10"/>
      <c r="AE81" s="10"/>
      <c r="AF81" s="12">
        <v>0</v>
      </c>
      <c r="AG81" s="12">
        <v>2</v>
      </c>
      <c r="AH81" s="12"/>
      <c r="AI81" s="10"/>
      <c r="AJ81" s="10"/>
      <c r="AK81" s="10"/>
      <c r="AM81" s="10"/>
      <c r="AN81" s="10"/>
      <c r="AO81" s="12">
        <v>0</v>
      </c>
      <c r="AP81" s="12">
        <v>2</v>
      </c>
      <c r="AQ81" s="12"/>
      <c r="AR81" s="10"/>
      <c r="AT81" s="10"/>
      <c r="AU81" s="10"/>
      <c r="AV81" s="12">
        <v>3</v>
      </c>
      <c r="AW81" s="12">
        <v>0</v>
      </c>
      <c r="AX81" s="12"/>
      <c r="AY81" s="10"/>
      <c r="BA81" s="10"/>
      <c r="BB81" s="10"/>
      <c r="BC81" s="12">
        <v>2</v>
      </c>
      <c r="BD81" s="12">
        <v>0</v>
      </c>
      <c r="BE81" s="12"/>
      <c r="BF81" s="12"/>
      <c r="BH81" s="10"/>
      <c r="BI81" s="10"/>
      <c r="BJ81" s="12">
        <v>1</v>
      </c>
      <c r="BK81" s="12">
        <v>0</v>
      </c>
      <c r="BL81" s="12"/>
      <c r="BM81" s="12"/>
      <c r="BN81" s="12"/>
      <c r="BO81" s="10"/>
      <c r="BQ81" s="10"/>
      <c r="BR81" s="10"/>
      <c r="BS81" s="12">
        <v>1</v>
      </c>
      <c r="BT81" s="12">
        <v>0</v>
      </c>
      <c r="BU81" s="12"/>
      <c r="BV81" s="10"/>
      <c r="BX81" s="10"/>
      <c r="BY81" s="10"/>
      <c r="BZ81" s="12">
        <v>0</v>
      </c>
      <c r="CA81" s="12">
        <v>2</v>
      </c>
      <c r="CB81" s="12"/>
      <c r="CC81" s="10"/>
      <c r="CD81" s="10"/>
      <c r="CE81" s="10"/>
      <c r="CF81" s="10"/>
      <c r="CH81" s="10"/>
      <c r="CI81" s="10"/>
      <c r="CJ81" s="12">
        <v>0</v>
      </c>
      <c r="CK81" s="12">
        <v>1</v>
      </c>
      <c r="CL81" s="12"/>
      <c r="CM81" s="10"/>
      <c r="CO81" s="34"/>
      <c r="CP81" s="34"/>
      <c r="CQ81" s="37">
        <v>-4</v>
      </c>
      <c r="CR81" s="37">
        <v>4</v>
      </c>
      <c r="CS81" s="37"/>
      <c r="CT81" s="34"/>
    </row>
    <row r="82" spans="1:98">
      <c r="A82" s="10" t="s">
        <v>108</v>
      </c>
      <c r="B82" s="10">
        <v>4</v>
      </c>
      <c r="C82" s="12" t="s">
        <v>560</v>
      </c>
      <c r="D82" s="12" t="s">
        <v>8</v>
      </c>
      <c r="E82" s="12"/>
      <c r="F82" s="10"/>
      <c r="G82" s="10"/>
      <c r="H82" s="10"/>
      <c r="I82" s="10"/>
      <c r="J82" s="10"/>
      <c r="L82" s="10"/>
      <c r="M82" s="10">
        <v>4</v>
      </c>
      <c r="N82" s="12" t="s">
        <v>587</v>
      </c>
      <c r="O82" s="12" t="s">
        <v>45</v>
      </c>
      <c r="P82" s="12"/>
      <c r="Q82" s="10"/>
      <c r="R82" s="10"/>
      <c r="S82" s="10"/>
      <c r="U82" s="10" t="s">
        <v>139</v>
      </c>
      <c r="V82" s="10">
        <v>4</v>
      </c>
      <c r="W82" s="12" t="s">
        <v>531</v>
      </c>
      <c r="X82" s="12" t="s">
        <v>150</v>
      </c>
      <c r="Y82" s="12"/>
      <c r="Z82" s="12"/>
      <c r="AA82" s="12"/>
      <c r="AB82" s="10"/>
      <c r="AD82" s="10"/>
      <c r="AE82" s="10">
        <v>4</v>
      </c>
      <c r="AF82" s="12" t="s">
        <v>195</v>
      </c>
      <c r="AG82" s="12" t="s">
        <v>22</v>
      </c>
      <c r="AH82" s="12"/>
      <c r="AI82" s="10"/>
      <c r="AJ82" s="10"/>
      <c r="AK82" s="10"/>
      <c r="AM82" s="10"/>
      <c r="AN82" s="10">
        <v>4</v>
      </c>
      <c r="AO82" s="12" t="s">
        <v>291</v>
      </c>
      <c r="AP82" s="12" t="s">
        <v>117</v>
      </c>
      <c r="AQ82" s="12"/>
      <c r="AR82" s="10"/>
      <c r="AT82" s="10"/>
      <c r="AU82" s="10">
        <v>4</v>
      </c>
      <c r="AV82" s="12" t="s">
        <v>22</v>
      </c>
      <c r="AW82" s="12" t="s">
        <v>142</v>
      </c>
      <c r="AX82" s="12"/>
      <c r="AY82" s="10"/>
      <c r="BA82" s="10" t="s">
        <v>276</v>
      </c>
      <c r="BB82" s="10">
        <v>4</v>
      </c>
      <c r="BC82" s="12" t="s">
        <v>84</v>
      </c>
      <c r="BD82" s="12" t="s">
        <v>70</v>
      </c>
      <c r="BE82" s="12"/>
      <c r="BF82" s="12"/>
      <c r="BH82" s="10" t="s">
        <v>312</v>
      </c>
      <c r="BI82" s="10">
        <v>4</v>
      </c>
      <c r="BJ82" s="12" t="s">
        <v>542</v>
      </c>
      <c r="BK82" s="12" t="s">
        <v>558</v>
      </c>
      <c r="BL82" s="12"/>
      <c r="BM82" s="12"/>
      <c r="BN82" s="12"/>
      <c r="BO82" s="10"/>
      <c r="BQ82" s="10"/>
      <c r="BR82" s="10">
        <v>4</v>
      </c>
      <c r="BS82" s="12" t="s">
        <v>596</v>
      </c>
      <c r="BT82" s="12" t="s">
        <v>57</v>
      </c>
      <c r="BU82" s="12"/>
      <c r="BV82" s="10"/>
      <c r="BX82" s="10" t="s">
        <v>670</v>
      </c>
      <c r="BY82" s="10">
        <v>4</v>
      </c>
      <c r="BZ82" s="12" t="s">
        <v>47</v>
      </c>
      <c r="CA82" s="12" t="s">
        <v>568</v>
      </c>
      <c r="CB82" s="12"/>
      <c r="CC82" s="10"/>
      <c r="CD82" s="10"/>
      <c r="CE82" s="10"/>
      <c r="CF82" s="10"/>
      <c r="CH82" s="10"/>
      <c r="CI82" s="10">
        <v>4</v>
      </c>
      <c r="CJ82" s="12" t="s">
        <v>76</v>
      </c>
      <c r="CK82" s="12" t="s">
        <v>156</v>
      </c>
      <c r="CL82" s="12"/>
      <c r="CM82" s="10"/>
      <c r="CO82" s="34"/>
      <c r="CP82" s="34">
        <v>4</v>
      </c>
      <c r="CQ82" s="37" t="s">
        <v>558</v>
      </c>
      <c r="CR82" s="37" t="s">
        <v>22</v>
      </c>
      <c r="CS82" s="37"/>
      <c r="CT82" s="34"/>
    </row>
    <row r="83" spans="1:98">
      <c r="A83" s="10"/>
      <c r="B83" s="10"/>
      <c r="C83" s="12">
        <v>1</v>
      </c>
      <c r="D83" s="12">
        <v>0</v>
      </c>
      <c r="E83" s="12"/>
      <c r="F83" s="10"/>
      <c r="G83" s="10"/>
      <c r="H83" s="10"/>
      <c r="I83" s="10"/>
      <c r="J83" s="10"/>
      <c r="L83" s="10"/>
      <c r="M83" s="10"/>
      <c r="N83" s="12">
        <v>2</v>
      </c>
      <c r="O83" s="12">
        <v>0</v>
      </c>
      <c r="P83" s="12"/>
      <c r="Q83" s="10"/>
      <c r="R83" s="10"/>
      <c r="S83" s="10"/>
      <c r="U83" s="10"/>
      <c r="V83" s="10"/>
      <c r="W83" s="12">
        <v>-2</v>
      </c>
      <c r="X83" s="12">
        <v>2</v>
      </c>
      <c r="Y83" s="12"/>
      <c r="Z83" s="12"/>
      <c r="AA83" s="12"/>
      <c r="AB83" s="10"/>
      <c r="AD83" s="10"/>
      <c r="AE83" s="10"/>
      <c r="AF83" s="12">
        <v>2</v>
      </c>
      <c r="AG83" s="12">
        <v>0</v>
      </c>
      <c r="AH83" s="12"/>
      <c r="AI83" s="10"/>
      <c r="AJ83" s="10"/>
      <c r="AK83" s="10"/>
      <c r="AM83" s="10"/>
      <c r="AN83" s="10"/>
      <c r="AO83" s="12">
        <v>0</v>
      </c>
      <c r="AP83" s="12">
        <v>3</v>
      </c>
      <c r="AQ83" s="12"/>
      <c r="AR83" s="10"/>
      <c r="AT83" s="10"/>
      <c r="AU83" s="10"/>
      <c r="AV83" s="12">
        <v>0</v>
      </c>
      <c r="AW83" s="12">
        <v>2</v>
      </c>
      <c r="AX83" s="12"/>
      <c r="AY83" s="10"/>
      <c r="BA83" s="10"/>
      <c r="BB83" s="10"/>
      <c r="BC83" s="12">
        <v>0</v>
      </c>
      <c r="BD83" s="12">
        <v>1</v>
      </c>
      <c r="BE83" s="12"/>
      <c r="BF83" s="12"/>
      <c r="BH83" s="10"/>
      <c r="BI83" s="10"/>
      <c r="BJ83" s="12">
        <v>0</v>
      </c>
      <c r="BK83" s="12">
        <v>1</v>
      </c>
      <c r="BL83" s="12"/>
      <c r="BM83" s="12"/>
      <c r="BN83" s="12"/>
      <c r="BO83" s="10"/>
      <c r="BQ83" s="10"/>
      <c r="BR83" s="10"/>
      <c r="BS83" s="12">
        <v>1</v>
      </c>
      <c r="BT83" s="12">
        <v>0</v>
      </c>
      <c r="BU83" s="12"/>
      <c r="BV83" s="10"/>
      <c r="BX83" s="10"/>
      <c r="BY83" s="10"/>
      <c r="BZ83" s="12">
        <v>0</v>
      </c>
      <c r="CA83" s="12">
        <v>1</v>
      </c>
      <c r="CB83" s="12"/>
      <c r="CC83" s="10"/>
      <c r="CD83" s="10"/>
      <c r="CE83" s="10"/>
      <c r="CF83" s="10"/>
      <c r="CH83" s="10"/>
      <c r="CI83" s="10"/>
      <c r="CJ83" s="12">
        <v>0</v>
      </c>
      <c r="CK83" s="12">
        <v>2</v>
      </c>
      <c r="CL83" s="12"/>
      <c r="CM83" s="10"/>
      <c r="CO83" s="34"/>
      <c r="CP83" s="34"/>
      <c r="CQ83" s="37">
        <v>2</v>
      </c>
      <c r="CR83" s="37">
        <v>0</v>
      </c>
      <c r="CS83" s="37"/>
      <c r="CT83" s="34"/>
    </row>
    <row r="84" spans="1:98">
      <c r="A84" s="10" t="s">
        <v>139</v>
      </c>
      <c r="B84" s="10">
        <v>5</v>
      </c>
      <c r="C84" s="12" t="s">
        <v>150</v>
      </c>
      <c r="D84" s="12" t="s">
        <v>10</v>
      </c>
      <c r="E84" s="12"/>
      <c r="F84" s="10"/>
      <c r="G84" s="10"/>
      <c r="H84" s="10"/>
      <c r="I84" s="10"/>
      <c r="J84" s="10"/>
      <c r="L84" s="10" t="s">
        <v>87</v>
      </c>
      <c r="M84" s="10">
        <v>5</v>
      </c>
      <c r="N84" s="12" t="s">
        <v>16</v>
      </c>
      <c r="O84" s="12" t="s">
        <v>557</v>
      </c>
      <c r="P84" s="12"/>
      <c r="Q84" s="10"/>
      <c r="R84" s="10"/>
      <c r="S84" s="10"/>
      <c r="U84" s="10" t="s">
        <v>306</v>
      </c>
      <c r="V84" s="10">
        <v>5</v>
      </c>
      <c r="W84" s="12" t="s">
        <v>45</v>
      </c>
      <c r="X84" s="12" t="s">
        <v>543</v>
      </c>
      <c r="Y84" s="12"/>
      <c r="Z84" s="12"/>
      <c r="AA84" s="12"/>
      <c r="AB84" s="10"/>
      <c r="AD84" s="10" t="s">
        <v>220</v>
      </c>
      <c r="AE84" s="10">
        <v>5</v>
      </c>
      <c r="AF84" s="12" t="s">
        <v>51</v>
      </c>
      <c r="AG84" s="12" t="s">
        <v>117</v>
      </c>
      <c r="AH84" s="12"/>
      <c r="AI84" s="10"/>
      <c r="AJ84" s="10"/>
      <c r="AK84" s="10"/>
      <c r="AM84" s="10" t="s">
        <v>140</v>
      </c>
      <c r="AN84" s="10">
        <v>5</v>
      </c>
      <c r="AO84" s="12" t="s">
        <v>2</v>
      </c>
      <c r="AP84" s="12" t="s">
        <v>150</v>
      </c>
      <c r="AQ84" s="12"/>
      <c r="AR84" s="10"/>
      <c r="AT84" s="10" t="s">
        <v>87</v>
      </c>
      <c r="AU84" s="10">
        <v>5</v>
      </c>
      <c r="AV84" s="12" t="s">
        <v>568</v>
      </c>
      <c r="AW84" s="12" t="s">
        <v>38</v>
      </c>
      <c r="AX84" s="12"/>
      <c r="AY84" s="10"/>
      <c r="BA84" s="10" t="s">
        <v>644</v>
      </c>
      <c r="BB84" s="10">
        <v>5</v>
      </c>
      <c r="BC84" s="12" t="s">
        <v>195</v>
      </c>
      <c r="BD84" s="12" t="s">
        <v>38</v>
      </c>
      <c r="BE84" s="12"/>
      <c r="BF84" s="12"/>
      <c r="BH84" s="10" t="s">
        <v>233</v>
      </c>
      <c r="BI84" s="10">
        <v>5</v>
      </c>
      <c r="BJ84" s="12" t="s">
        <v>142</v>
      </c>
      <c r="BK84" s="12" t="s">
        <v>4</v>
      </c>
      <c r="BL84" s="12"/>
      <c r="BM84" s="12"/>
      <c r="BN84" s="12"/>
      <c r="BO84" s="10"/>
      <c r="BQ84" s="10" t="s">
        <v>140</v>
      </c>
      <c r="BR84" s="10">
        <v>5</v>
      </c>
      <c r="BS84" s="12" t="s">
        <v>579</v>
      </c>
      <c r="BT84" s="12" t="s">
        <v>4</v>
      </c>
      <c r="BU84" s="12"/>
      <c r="BV84" s="10"/>
      <c r="BX84" s="10" t="s">
        <v>139</v>
      </c>
      <c r="BY84" s="10">
        <v>5</v>
      </c>
      <c r="BZ84" s="12" t="s">
        <v>52</v>
      </c>
      <c r="CA84" s="12" t="s">
        <v>150</v>
      </c>
      <c r="CB84" s="12"/>
      <c r="CC84" s="10"/>
      <c r="CD84" s="10"/>
      <c r="CE84" s="10"/>
      <c r="CF84" s="10"/>
      <c r="CH84" s="10" t="s">
        <v>140</v>
      </c>
      <c r="CI84" s="10">
        <v>5</v>
      </c>
      <c r="CJ84" s="12" t="s">
        <v>166</v>
      </c>
      <c r="CK84" s="12" t="s">
        <v>57</v>
      </c>
      <c r="CL84" s="12"/>
      <c r="CM84" s="10"/>
      <c r="CO84" s="34" t="s">
        <v>306</v>
      </c>
      <c r="CP84" s="34">
        <v>5</v>
      </c>
      <c r="CQ84" s="37" t="s">
        <v>542</v>
      </c>
      <c r="CR84" s="37" t="s">
        <v>150</v>
      </c>
      <c r="CS84" s="37" t="s">
        <v>49</v>
      </c>
      <c r="CT84" s="34"/>
    </row>
    <row r="85" spans="1:98">
      <c r="A85" s="10"/>
      <c r="B85" s="10"/>
      <c r="C85" s="12">
        <v>3</v>
      </c>
      <c r="D85" s="12">
        <v>-3</v>
      </c>
      <c r="E85" s="12"/>
      <c r="F85" s="10"/>
      <c r="G85" s="10"/>
      <c r="H85" s="10"/>
      <c r="I85" s="10"/>
      <c r="J85" s="10"/>
      <c r="L85" s="10"/>
      <c r="M85" s="10"/>
      <c r="N85" s="12">
        <v>0</v>
      </c>
      <c r="O85" s="12">
        <v>1</v>
      </c>
      <c r="P85" s="12"/>
      <c r="Q85" s="10"/>
      <c r="R85" s="10"/>
      <c r="S85" s="10"/>
      <c r="U85" s="10"/>
      <c r="V85" s="10"/>
      <c r="W85" s="12">
        <v>0</v>
      </c>
      <c r="X85" s="12">
        <v>1</v>
      </c>
      <c r="Y85" s="12"/>
      <c r="Z85" s="12"/>
      <c r="AA85" s="12"/>
      <c r="AB85" s="10"/>
      <c r="AD85" s="10"/>
      <c r="AE85" s="10"/>
      <c r="AF85" s="12">
        <v>0</v>
      </c>
      <c r="AG85" s="12">
        <v>1</v>
      </c>
      <c r="AH85" s="12"/>
      <c r="AI85" s="10"/>
      <c r="AJ85" s="10"/>
      <c r="AK85" s="10"/>
      <c r="AM85" s="10"/>
      <c r="AN85" s="10"/>
      <c r="AO85" s="12">
        <v>0</v>
      </c>
      <c r="AP85" s="12">
        <v>3</v>
      </c>
      <c r="AQ85" s="12"/>
      <c r="AR85" s="10"/>
      <c r="AT85" s="10"/>
      <c r="AU85" s="10"/>
      <c r="AV85" s="12">
        <v>1</v>
      </c>
      <c r="AW85" s="12">
        <v>0</v>
      </c>
      <c r="AX85" s="12"/>
      <c r="AY85" s="10"/>
      <c r="BA85" s="10"/>
      <c r="BB85" s="10"/>
      <c r="BC85" s="12">
        <v>1</v>
      </c>
      <c r="BD85" s="12">
        <v>0</v>
      </c>
      <c r="BE85" s="12"/>
      <c r="BF85" s="12"/>
      <c r="BH85" s="10"/>
      <c r="BI85" s="10"/>
      <c r="BJ85" s="12">
        <v>1</v>
      </c>
      <c r="BK85" s="12">
        <v>-1</v>
      </c>
      <c r="BL85" s="12"/>
      <c r="BM85" s="12"/>
      <c r="BN85" s="12"/>
      <c r="BO85" s="10"/>
      <c r="BQ85" s="10"/>
      <c r="BR85" s="10"/>
      <c r="BS85" s="12">
        <v>1</v>
      </c>
      <c r="BT85" s="12">
        <v>0</v>
      </c>
      <c r="BU85" s="12"/>
      <c r="BV85" s="10"/>
      <c r="BX85" s="10"/>
      <c r="BY85" s="10"/>
      <c r="BZ85" s="12">
        <v>-1</v>
      </c>
      <c r="CA85" s="12">
        <v>1</v>
      </c>
      <c r="CB85" s="12"/>
      <c r="CC85" s="10"/>
      <c r="CD85" s="10"/>
      <c r="CE85" s="10"/>
      <c r="CF85" s="10"/>
      <c r="CH85" s="10"/>
      <c r="CI85" s="10"/>
      <c r="CJ85" s="12">
        <v>1</v>
      </c>
      <c r="CK85" s="12">
        <v>0</v>
      </c>
      <c r="CL85" s="12"/>
      <c r="CM85" s="10"/>
      <c r="CO85" s="34"/>
      <c r="CP85" s="34"/>
      <c r="CQ85" s="37">
        <v>0</v>
      </c>
      <c r="CR85" s="37">
        <v>2</v>
      </c>
      <c r="CS85" s="37">
        <v>0</v>
      </c>
      <c r="CT85" s="34"/>
    </row>
    <row r="86" spans="1:98">
      <c r="C86" s="6"/>
      <c r="D86" s="6"/>
      <c r="N86" s="6"/>
      <c r="O86" s="6"/>
      <c r="W86" s="6"/>
      <c r="X86" s="6"/>
      <c r="AF86" s="6"/>
      <c r="AG86" s="6"/>
      <c r="AO86" s="6"/>
      <c r="AP86" s="6"/>
      <c r="AV86" s="6"/>
      <c r="AW86" s="6"/>
      <c r="BC86" s="6"/>
      <c r="BD86" s="6"/>
      <c r="BJ86" s="6"/>
      <c r="BK86" s="6"/>
      <c r="BS86" s="6"/>
      <c r="BT86" s="6"/>
      <c r="BZ86" s="6"/>
      <c r="CA86" s="6"/>
      <c r="CJ86" s="6"/>
      <c r="CK86" s="6"/>
      <c r="CO86" s="32"/>
      <c r="CP86" s="32"/>
      <c r="CQ86" s="33"/>
      <c r="CR86" s="33"/>
      <c r="CS86" s="32"/>
      <c r="CT86" s="32"/>
    </row>
    <row r="87" spans="1:98" ht="21">
      <c r="A87" s="7"/>
      <c r="B87" s="8" t="s">
        <v>73</v>
      </c>
      <c r="C87" s="104" t="s">
        <v>457</v>
      </c>
      <c r="D87" s="9"/>
      <c r="E87" s="7"/>
      <c r="F87" s="7"/>
      <c r="G87" s="7"/>
      <c r="H87" s="7"/>
      <c r="I87" s="7"/>
      <c r="J87" s="7"/>
      <c r="L87" s="7"/>
      <c r="M87" s="8" t="s">
        <v>73</v>
      </c>
      <c r="N87" s="104" t="s">
        <v>253</v>
      </c>
      <c r="O87" s="9"/>
      <c r="P87" s="7"/>
      <c r="Q87" s="7"/>
      <c r="R87" s="7"/>
      <c r="S87" s="7"/>
      <c r="U87" s="7"/>
      <c r="V87" s="8" t="s">
        <v>73</v>
      </c>
      <c r="W87" s="104" t="s">
        <v>879</v>
      </c>
      <c r="X87" s="9"/>
      <c r="Y87" s="7"/>
      <c r="Z87" s="7"/>
      <c r="AA87" s="7"/>
      <c r="AB87" s="7"/>
      <c r="AD87" s="7"/>
      <c r="AE87" s="8" t="s">
        <v>73</v>
      </c>
      <c r="AF87" s="104" t="s">
        <v>212</v>
      </c>
      <c r="AG87" s="9"/>
      <c r="AH87" s="7"/>
      <c r="AI87" s="7"/>
      <c r="AJ87" s="7"/>
      <c r="AK87" s="7"/>
      <c r="AM87" s="7"/>
      <c r="AN87" s="8" t="s">
        <v>73</v>
      </c>
      <c r="AO87" s="104" t="s">
        <v>235</v>
      </c>
      <c r="AP87" s="9"/>
      <c r="AQ87" s="7"/>
      <c r="AR87" s="7"/>
      <c r="AT87" s="7"/>
      <c r="AU87" s="8" t="s">
        <v>73</v>
      </c>
      <c r="AV87" s="104" t="s">
        <v>477</v>
      </c>
      <c r="AW87" s="9"/>
      <c r="AX87" s="7"/>
      <c r="AY87" s="7"/>
      <c r="BA87" s="7"/>
      <c r="BB87" s="8" t="s">
        <v>73</v>
      </c>
      <c r="BC87" s="104" t="s">
        <v>486</v>
      </c>
      <c r="BD87" s="9"/>
      <c r="BE87" s="7"/>
      <c r="BF87" s="9"/>
      <c r="BH87" s="7"/>
      <c r="BI87" s="8" t="s">
        <v>73</v>
      </c>
      <c r="BJ87" s="104" t="s">
        <v>491</v>
      </c>
      <c r="BK87" s="9"/>
      <c r="BL87" s="7"/>
      <c r="BM87" s="7"/>
      <c r="BN87" s="7"/>
      <c r="BO87" s="7"/>
      <c r="BQ87" s="7"/>
      <c r="BR87" s="8" t="s">
        <v>73</v>
      </c>
      <c r="BS87" s="104" t="s">
        <v>498</v>
      </c>
      <c r="BT87" s="9"/>
      <c r="BU87" s="7"/>
      <c r="BV87" s="7"/>
      <c r="BX87" s="7"/>
      <c r="BY87" s="8" t="s">
        <v>73</v>
      </c>
      <c r="BZ87" s="104" t="s">
        <v>505</v>
      </c>
      <c r="CA87" s="9"/>
      <c r="CB87" s="7"/>
      <c r="CC87" s="7"/>
      <c r="CD87" s="7"/>
      <c r="CE87" s="7"/>
      <c r="CF87" s="7"/>
      <c r="CH87" s="7"/>
      <c r="CI87" s="8" t="s">
        <v>73</v>
      </c>
      <c r="CJ87" s="104" t="s">
        <v>466</v>
      </c>
      <c r="CK87" s="9"/>
      <c r="CL87" s="7"/>
      <c r="CM87" s="7"/>
      <c r="CO87" s="38"/>
      <c r="CP87" s="39" t="s">
        <v>189</v>
      </c>
      <c r="CQ87" s="83" t="s">
        <v>121</v>
      </c>
      <c r="CR87" s="41"/>
      <c r="CS87" s="38"/>
      <c r="CT87" s="38"/>
    </row>
    <row r="88" spans="1:98">
      <c r="A88" s="7"/>
      <c r="B88" s="7">
        <v>1</v>
      </c>
      <c r="C88" s="9" t="s">
        <v>41</v>
      </c>
      <c r="D88" s="9" t="s">
        <v>142</v>
      </c>
      <c r="E88" s="9"/>
      <c r="F88" s="7"/>
      <c r="G88" s="7"/>
      <c r="H88" s="7"/>
      <c r="I88" s="7"/>
      <c r="J88" s="7"/>
      <c r="L88" s="7"/>
      <c r="M88" s="7">
        <v>1</v>
      </c>
      <c r="N88" s="9" t="s">
        <v>15</v>
      </c>
      <c r="O88" s="9" t="s">
        <v>894</v>
      </c>
      <c r="P88" s="9"/>
      <c r="Q88" s="7"/>
      <c r="R88" s="7"/>
      <c r="S88" s="7"/>
      <c r="U88" s="7"/>
      <c r="V88" s="7">
        <v>1</v>
      </c>
      <c r="W88" s="9" t="s">
        <v>92</v>
      </c>
      <c r="X88" s="9" t="s">
        <v>58</v>
      </c>
      <c r="Y88" s="9"/>
      <c r="Z88" s="9"/>
      <c r="AA88" s="9"/>
      <c r="AB88" s="7"/>
      <c r="AD88" s="7"/>
      <c r="AE88" s="7">
        <v>1</v>
      </c>
      <c r="AF88" s="9" t="s">
        <v>548</v>
      </c>
      <c r="AG88" s="9" t="s">
        <v>15</v>
      </c>
      <c r="AH88" s="9"/>
      <c r="AI88" s="7"/>
      <c r="AJ88" s="7"/>
      <c r="AK88" s="7"/>
      <c r="AM88" s="7"/>
      <c r="AN88" s="7">
        <v>1</v>
      </c>
      <c r="AO88" s="9" t="s">
        <v>203</v>
      </c>
      <c r="AP88" s="9" t="s">
        <v>15</v>
      </c>
      <c r="AQ88" s="9"/>
      <c r="AR88" s="7"/>
      <c r="AT88" s="7"/>
      <c r="AU88" s="7">
        <v>1</v>
      </c>
      <c r="AV88" s="9" t="s">
        <v>147</v>
      </c>
      <c r="AW88" s="9" t="s">
        <v>15</v>
      </c>
      <c r="AX88" s="9"/>
      <c r="AY88" s="7"/>
      <c r="BA88" s="7"/>
      <c r="BB88" s="7">
        <v>1</v>
      </c>
      <c r="BC88" s="9" t="s">
        <v>647</v>
      </c>
      <c r="BD88" s="9" t="s">
        <v>10</v>
      </c>
      <c r="BE88" s="9"/>
      <c r="BF88" s="9"/>
      <c r="BH88" s="7"/>
      <c r="BI88" s="7">
        <v>1</v>
      </c>
      <c r="BJ88" s="9" t="s">
        <v>169</v>
      </c>
      <c r="BK88" s="9" t="s">
        <v>17</v>
      </c>
      <c r="BL88" s="9"/>
      <c r="BM88" s="9"/>
      <c r="BN88" s="9"/>
      <c r="BO88" s="7"/>
      <c r="BQ88" s="7"/>
      <c r="BR88" s="7">
        <v>1</v>
      </c>
      <c r="BS88" s="9" t="s">
        <v>10</v>
      </c>
      <c r="BT88" s="9" t="s">
        <v>577</v>
      </c>
      <c r="BU88" s="9"/>
      <c r="BV88" s="7"/>
      <c r="BX88" s="7"/>
      <c r="BY88" s="7">
        <v>1</v>
      </c>
      <c r="BZ88" s="9" t="s">
        <v>75</v>
      </c>
      <c r="CA88" s="9" t="s">
        <v>326</v>
      </c>
      <c r="CB88" s="9"/>
      <c r="CC88" s="7"/>
      <c r="CD88" s="7"/>
      <c r="CE88" s="7"/>
      <c r="CF88" s="7"/>
      <c r="CH88" s="7"/>
      <c r="CI88" s="7">
        <v>1</v>
      </c>
      <c r="CJ88" s="9" t="s">
        <v>39</v>
      </c>
      <c r="CK88" s="9" t="s">
        <v>589</v>
      </c>
      <c r="CL88" s="9"/>
      <c r="CM88" s="7"/>
      <c r="CO88" s="38"/>
      <c r="CP88" s="38">
        <v>1</v>
      </c>
      <c r="CQ88" s="41" t="s">
        <v>112</v>
      </c>
      <c r="CR88" s="41" t="s">
        <v>326</v>
      </c>
      <c r="CS88" s="41"/>
      <c r="CT88" s="38"/>
    </row>
    <row r="89" spans="1:98">
      <c r="A89" s="7"/>
      <c r="B89" s="7"/>
      <c r="C89" s="9">
        <v>0</v>
      </c>
      <c r="D89" s="9">
        <v>1</v>
      </c>
      <c r="E89" s="9"/>
      <c r="F89" s="7"/>
      <c r="G89" s="7"/>
      <c r="H89" s="7"/>
      <c r="I89" s="7"/>
      <c r="J89" s="7"/>
      <c r="L89" s="7"/>
      <c r="M89" s="7"/>
      <c r="N89" s="9">
        <v>0</v>
      </c>
      <c r="O89" s="9">
        <v>2</v>
      </c>
      <c r="P89" s="9"/>
      <c r="Q89" s="7"/>
      <c r="R89" s="7"/>
      <c r="S89" s="7"/>
      <c r="U89" s="7"/>
      <c r="V89" s="7"/>
      <c r="W89" s="9">
        <v>2</v>
      </c>
      <c r="X89" s="9">
        <v>0</v>
      </c>
      <c r="Y89" s="9"/>
      <c r="Z89" s="9"/>
      <c r="AA89" s="9"/>
      <c r="AB89" s="7"/>
      <c r="AD89" s="7"/>
      <c r="AE89" s="7"/>
      <c r="AF89" s="9">
        <v>2</v>
      </c>
      <c r="AG89" s="9">
        <v>0</v>
      </c>
      <c r="AH89" s="9"/>
      <c r="AI89" s="7"/>
      <c r="AJ89" s="7"/>
      <c r="AK89" s="7"/>
      <c r="AM89" s="7"/>
      <c r="AN89" s="7"/>
      <c r="AO89" s="9">
        <v>2</v>
      </c>
      <c r="AP89" s="9">
        <v>0</v>
      </c>
      <c r="AQ89" s="9"/>
      <c r="AR89" s="7"/>
      <c r="AT89" s="7"/>
      <c r="AU89" s="7"/>
      <c r="AV89" s="9">
        <v>2</v>
      </c>
      <c r="AW89" s="9">
        <v>0</v>
      </c>
      <c r="AX89" s="9"/>
      <c r="AY89" s="7"/>
      <c r="BA89" s="7"/>
      <c r="BB89" s="7"/>
      <c r="BC89" s="9">
        <v>2</v>
      </c>
      <c r="BD89" s="9">
        <v>0</v>
      </c>
      <c r="BE89" s="9"/>
      <c r="BF89" s="9"/>
      <c r="BH89" s="7"/>
      <c r="BI89" s="7"/>
      <c r="BJ89" s="9"/>
      <c r="BK89" s="9"/>
      <c r="BL89" s="9"/>
      <c r="BM89" s="9"/>
      <c r="BN89" s="9"/>
      <c r="BO89" s="7"/>
      <c r="BQ89" s="7"/>
      <c r="BR89" s="7"/>
      <c r="BS89" s="9">
        <v>0</v>
      </c>
      <c r="BT89" s="9">
        <v>2</v>
      </c>
      <c r="BU89" s="9"/>
      <c r="BV89" s="7"/>
      <c r="BX89" s="7"/>
      <c r="BY89" s="7"/>
      <c r="BZ89" s="9">
        <v>3</v>
      </c>
      <c r="CA89" s="9">
        <v>0</v>
      </c>
      <c r="CB89" s="9"/>
      <c r="CC89" s="7"/>
      <c r="CD89" s="7"/>
      <c r="CE89" s="7"/>
      <c r="CF89" s="7"/>
      <c r="CH89" s="7"/>
      <c r="CI89" s="7"/>
      <c r="CJ89" s="9">
        <v>0</v>
      </c>
      <c r="CK89" s="9">
        <v>1</v>
      </c>
      <c r="CL89" s="9"/>
      <c r="CM89" s="7"/>
      <c r="CO89" s="38"/>
      <c r="CP89" s="38"/>
      <c r="CQ89" s="41">
        <v>1</v>
      </c>
      <c r="CR89" s="41">
        <v>0</v>
      </c>
      <c r="CS89" s="41"/>
      <c r="CT89" s="38"/>
    </row>
    <row r="90" spans="1:98">
      <c r="A90" s="7"/>
      <c r="B90" s="7">
        <v>2</v>
      </c>
      <c r="C90" s="9" t="s">
        <v>62</v>
      </c>
      <c r="D90" s="9" t="s">
        <v>70</v>
      </c>
      <c r="E90" s="9"/>
      <c r="F90" s="7"/>
      <c r="G90" s="7"/>
      <c r="H90" s="7"/>
      <c r="I90" s="7"/>
      <c r="J90" s="7"/>
      <c r="L90" s="7"/>
      <c r="M90" s="7">
        <v>2</v>
      </c>
      <c r="N90" s="9" t="s">
        <v>58</v>
      </c>
      <c r="O90" s="9" t="s">
        <v>588</v>
      </c>
      <c r="P90" s="9"/>
      <c r="Q90" s="7"/>
      <c r="R90" s="7"/>
      <c r="S90" s="7"/>
      <c r="U90" s="7"/>
      <c r="V90" s="7">
        <v>2</v>
      </c>
      <c r="W90" s="9" t="s">
        <v>596</v>
      </c>
      <c r="X90" s="9" t="s">
        <v>15</v>
      </c>
      <c r="Y90" s="9"/>
      <c r="Z90" s="9"/>
      <c r="AA90" s="9"/>
      <c r="AB90" s="7"/>
      <c r="AD90" s="7"/>
      <c r="AE90" s="7">
        <v>2</v>
      </c>
      <c r="AF90" s="9" t="s">
        <v>111</v>
      </c>
      <c r="AG90" s="9" t="s">
        <v>62</v>
      </c>
      <c r="AH90" s="9"/>
      <c r="AI90" s="7"/>
      <c r="AJ90" s="7"/>
      <c r="AK90" s="7"/>
      <c r="AM90" s="7"/>
      <c r="AN90" s="7">
        <v>2</v>
      </c>
      <c r="AO90" s="9" t="s">
        <v>588</v>
      </c>
      <c r="AP90" s="9" t="s">
        <v>13</v>
      </c>
      <c r="AQ90" s="9"/>
      <c r="AR90" s="7"/>
      <c r="AT90" s="7"/>
      <c r="AU90" s="7">
        <v>2</v>
      </c>
      <c r="AV90" s="9" t="s">
        <v>81</v>
      </c>
      <c r="AW90" s="9" t="s">
        <v>10</v>
      </c>
      <c r="AX90" s="9"/>
      <c r="AY90" s="7"/>
      <c r="BA90" s="7"/>
      <c r="BB90" s="7">
        <v>2</v>
      </c>
      <c r="BC90" s="9" t="s">
        <v>169</v>
      </c>
      <c r="BD90" s="9" t="s">
        <v>39</v>
      </c>
      <c r="BE90" s="9"/>
      <c r="BF90" s="9"/>
      <c r="BH90" s="7"/>
      <c r="BI90" s="7">
        <v>2</v>
      </c>
      <c r="BJ90" s="9" t="s">
        <v>532</v>
      </c>
      <c r="BK90" s="9" t="s">
        <v>545</v>
      </c>
      <c r="BL90" s="9"/>
      <c r="BM90" s="9"/>
      <c r="BN90" s="9"/>
      <c r="BO90" s="7"/>
      <c r="BQ90" s="7"/>
      <c r="BR90" s="7">
        <v>2</v>
      </c>
      <c r="BS90" s="9" t="s">
        <v>15</v>
      </c>
      <c r="BT90" s="9" t="s">
        <v>147</v>
      </c>
      <c r="BU90" s="9"/>
      <c r="BV90" s="7"/>
      <c r="BX90" s="7"/>
      <c r="BY90" s="7">
        <v>2</v>
      </c>
      <c r="BZ90" s="9" t="s">
        <v>588</v>
      </c>
      <c r="CA90" s="9" t="s">
        <v>446</v>
      </c>
      <c r="CB90" s="9"/>
      <c r="CC90" s="7"/>
      <c r="CD90" s="7"/>
      <c r="CE90" s="7"/>
      <c r="CF90" s="7"/>
      <c r="CH90" s="7"/>
      <c r="CI90" s="7">
        <v>2</v>
      </c>
      <c r="CJ90" s="9" t="s">
        <v>577</v>
      </c>
      <c r="CK90" s="9" t="s">
        <v>62</v>
      </c>
      <c r="CL90" s="9"/>
      <c r="CM90" s="7"/>
      <c r="CO90" s="38"/>
      <c r="CP90" s="38">
        <v>2</v>
      </c>
      <c r="CQ90" s="41" t="s">
        <v>531</v>
      </c>
      <c r="CR90" s="41" t="s">
        <v>588</v>
      </c>
      <c r="CS90" s="41"/>
      <c r="CT90" s="38"/>
    </row>
    <row r="91" spans="1:98">
      <c r="A91" s="7"/>
      <c r="B91" s="7"/>
      <c r="C91" s="9">
        <v>0</v>
      </c>
      <c r="D91" s="9">
        <v>1</v>
      </c>
      <c r="E91" s="9"/>
      <c r="F91" s="7"/>
      <c r="G91" s="7"/>
      <c r="H91" s="7"/>
      <c r="I91" s="7"/>
      <c r="J91" s="7"/>
      <c r="L91" s="7"/>
      <c r="M91" s="7"/>
      <c r="N91" s="9">
        <v>0</v>
      </c>
      <c r="O91" s="9">
        <v>1</v>
      </c>
      <c r="P91" s="9"/>
      <c r="Q91" s="7"/>
      <c r="R91" s="7"/>
      <c r="S91" s="7"/>
      <c r="U91" s="7"/>
      <c r="V91" s="7"/>
      <c r="W91" s="9">
        <v>2</v>
      </c>
      <c r="X91" s="9">
        <v>0</v>
      </c>
      <c r="Y91" s="9"/>
      <c r="Z91" s="9"/>
      <c r="AA91" s="9"/>
      <c r="AB91" s="7"/>
      <c r="AD91" s="7"/>
      <c r="AE91" s="7"/>
      <c r="AF91" s="9">
        <v>3</v>
      </c>
      <c r="AG91" s="9">
        <v>0</v>
      </c>
      <c r="AH91" s="9"/>
      <c r="AI91" s="7"/>
      <c r="AJ91" s="7"/>
      <c r="AK91" s="7"/>
      <c r="AM91" s="7"/>
      <c r="AN91" s="7"/>
      <c r="AO91" s="9">
        <v>3</v>
      </c>
      <c r="AP91" s="9">
        <v>0</v>
      </c>
      <c r="AQ91" s="9"/>
      <c r="AR91" s="7"/>
      <c r="AT91" s="7"/>
      <c r="AU91" s="7"/>
      <c r="AV91" s="9">
        <v>2</v>
      </c>
      <c r="AW91" s="9">
        <v>0</v>
      </c>
      <c r="AX91" s="9"/>
      <c r="AY91" s="7"/>
      <c r="BA91" s="7"/>
      <c r="BB91" s="7"/>
      <c r="BC91" s="9">
        <v>1</v>
      </c>
      <c r="BD91" s="9">
        <v>0</v>
      </c>
      <c r="BE91" s="9"/>
      <c r="BF91" s="9"/>
      <c r="BH91" s="7" t="s">
        <v>660</v>
      </c>
      <c r="BI91" s="7"/>
      <c r="BJ91" s="9">
        <v>0</v>
      </c>
      <c r="BK91" s="9">
        <v>1</v>
      </c>
      <c r="BL91" s="9"/>
      <c r="BM91" s="9"/>
      <c r="BN91" s="9"/>
      <c r="BO91" s="7"/>
      <c r="BQ91" s="7"/>
      <c r="BR91" s="7"/>
      <c r="BS91" s="9">
        <v>0</v>
      </c>
      <c r="BT91" s="9">
        <v>1</v>
      </c>
      <c r="BU91" s="9"/>
      <c r="BV91" s="7"/>
      <c r="BX91" s="7"/>
      <c r="BY91" s="7"/>
      <c r="BZ91" s="9">
        <v>2</v>
      </c>
      <c r="CA91" s="9">
        <v>0</v>
      </c>
      <c r="CB91" s="9"/>
      <c r="CC91" s="7"/>
      <c r="CD91" s="7"/>
      <c r="CE91" s="7"/>
      <c r="CF91" s="7"/>
      <c r="CH91" s="7"/>
      <c r="CI91" s="7"/>
      <c r="CJ91" s="9">
        <v>1</v>
      </c>
      <c r="CK91" s="9">
        <v>0</v>
      </c>
      <c r="CL91" s="9"/>
      <c r="CM91" s="7"/>
      <c r="CO91" s="38"/>
      <c r="CP91" s="38"/>
      <c r="CQ91" s="41">
        <v>0</v>
      </c>
      <c r="CR91" s="41">
        <v>1</v>
      </c>
      <c r="CS91" s="41"/>
      <c r="CT91" s="38"/>
    </row>
    <row r="92" spans="1:98">
      <c r="A92" s="7"/>
      <c r="B92" s="7">
        <v>3</v>
      </c>
      <c r="C92" s="9" t="s">
        <v>118</v>
      </c>
      <c r="D92" s="9" t="s">
        <v>532</v>
      </c>
      <c r="E92" s="7"/>
      <c r="F92" s="7"/>
      <c r="G92" s="7"/>
      <c r="H92" s="7"/>
      <c r="I92" s="7"/>
      <c r="J92" s="7"/>
      <c r="L92" s="7"/>
      <c r="M92" s="7">
        <v>3</v>
      </c>
      <c r="N92" s="9" t="s">
        <v>40</v>
      </c>
      <c r="O92" s="9" t="s">
        <v>589</v>
      </c>
      <c r="P92" s="7"/>
      <c r="Q92" s="7"/>
      <c r="R92" s="7"/>
      <c r="S92" s="7"/>
      <c r="U92" s="7"/>
      <c r="V92" s="7">
        <v>3</v>
      </c>
      <c r="W92" s="9" t="s">
        <v>122</v>
      </c>
      <c r="X92" s="9" t="s">
        <v>21</v>
      </c>
      <c r="Y92" s="7"/>
      <c r="Z92" s="7"/>
      <c r="AA92" s="7"/>
      <c r="AB92" s="7"/>
      <c r="AD92" s="7" t="s">
        <v>200</v>
      </c>
      <c r="AE92" s="7">
        <v>3</v>
      </c>
      <c r="AF92" s="9" t="s">
        <v>41</v>
      </c>
      <c r="AG92" s="9" t="s">
        <v>546</v>
      </c>
      <c r="AH92" s="7"/>
      <c r="AI92" s="7"/>
      <c r="AJ92" s="7"/>
      <c r="AK92" s="7"/>
      <c r="AM92" s="7"/>
      <c r="AN92" s="7">
        <v>3</v>
      </c>
      <c r="AO92" s="9" t="s">
        <v>546</v>
      </c>
      <c r="AP92" s="9" t="s">
        <v>58</v>
      </c>
      <c r="AQ92" s="7"/>
      <c r="AR92" s="7"/>
      <c r="AT92" s="7"/>
      <c r="AU92" s="7">
        <v>3</v>
      </c>
      <c r="AV92" s="9" t="s">
        <v>549</v>
      </c>
      <c r="AW92" s="9" t="s">
        <v>17</v>
      </c>
      <c r="AX92" s="7"/>
      <c r="AY92" s="7"/>
      <c r="BA92" s="7" t="s">
        <v>274</v>
      </c>
      <c r="BB92" s="7">
        <v>3</v>
      </c>
      <c r="BC92" s="9" t="s">
        <v>37</v>
      </c>
      <c r="BD92" s="9" t="s">
        <v>118</v>
      </c>
      <c r="BE92" s="7"/>
      <c r="BF92" s="9"/>
      <c r="BH92" s="7" t="s">
        <v>310</v>
      </c>
      <c r="BI92" s="7">
        <v>3</v>
      </c>
      <c r="BJ92" s="9" t="s">
        <v>147</v>
      </c>
      <c r="BK92" s="9" t="s">
        <v>62</v>
      </c>
      <c r="BL92" s="7"/>
      <c r="BM92" s="7"/>
      <c r="BN92" s="7"/>
      <c r="BO92" s="7"/>
      <c r="BQ92" s="7"/>
      <c r="BR92" s="7">
        <v>3</v>
      </c>
      <c r="BS92" s="9" t="s">
        <v>169</v>
      </c>
      <c r="BT92" s="9" t="s">
        <v>326</v>
      </c>
      <c r="BU92" s="7"/>
      <c r="BV92" s="7"/>
      <c r="BX92" s="7"/>
      <c r="BY92" s="7">
        <v>3</v>
      </c>
      <c r="BZ92" s="9" t="s">
        <v>62</v>
      </c>
      <c r="CA92" s="9" t="s">
        <v>81</v>
      </c>
      <c r="CB92" s="7"/>
      <c r="CC92" s="7"/>
      <c r="CD92" s="7"/>
      <c r="CE92" s="7"/>
      <c r="CF92" s="7"/>
      <c r="CH92" s="7"/>
      <c r="CI92" s="7">
        <v>3</v>
      </c>
      <c r="CJ92" s="9" t="s">
        <v>15</v>
      </c>
      <c r="CK92" s="9" t="s">
        <v>75</v>
      </c>
      <c r="CL92" s="7"/>
      <c r="CM92" s="7"/>
      <c r="CO92" s="38" t="s">
        <v>327</v>
      </c>
      <c r="CP92" s="38">
        <v>3</v>
      </c>
      <c r="CQ92" s="41" t="s">
        <v>57</v>
      </c>
      <c r="CR92" s="70" t="s">
        <v>446</v>
      </c>
      <c r="CS92" s="41" t="s">
        <v>547</v>
      </c>
      <c r="CT92" s="41" t="s">
        <v>110</v>
      </c>
    </row>
    <row r="93" spans="1:98">
      <c r="A93" s="7"/>
      <c r="B93" s="7"/>
      <c r="C93" s="9">
        <v>1</v>
      </c>
      <c r="D93" s="9">
        <v>0</v>
      </c>
      <c r="E93" s="9"/>
      <c r="F93" s="7"/>
      <c r="G93" s="7"/>
      <c r="H93" s="7"/>
      <c r="I93" s="7"/>
      <c r="J93" s="7"/>
      <c r="L93" s="7"/>
      <c r="M93" s="7"/>
      <c r="N93" s="9">
        <v>0</v>
      </c>
      <c r="O93" s="9">
        <v>2</v>
      </c>
      <c r="P93" s="9"/>
      <c r="Q93" s="7"/>
      <c r="R93" s="7"/>
      <c r="S93" s="7"/>
      <c r="U93" s="7"/>
      <c r="V93" s="7"/>
      <c r="W93" s="9">
        <v>2</v>
      </c>
      <c r="X93" s="9">
        <v>0</v>
      </c>
      <c r="Y93" s="9"/>
      <c r="Z93" s="9"/>
      <c r="AA93" s="9"/>
      <c r="AB93" s="7"/>
      <c r="AD93" s="7" t="s">
        <v>353</v>
      </c>
      <c r="AE93" s="7"/>
      <c r="AF93" s="9">
        <v>0</v>
      </c>
      <c r="AG93" s="9">
        <v>1</v>
      </c>
      <c r="AH93" s="9"/>
      <c r="AI93" s="7"/>
      <c r="AJ93" s="7"/>
      <c r="AK93" s="7"/>
      <c r="AM93" s="7"/>
      <c r="AN93" s="7"/>
      <c r="AO93" s="9">
        <v>3</v>
      </c>
      <c r="AP93" s="9">
        <v>0</v>
      </c>
      <c r="AQ93" s="9"/>
      <c r="AR93" s="7"/>
      <c r="AT93" s="7"/>
      <c r="AU93" s="7"/>
      <c r="AV93" s="9">
        <v>1</v>
      </c>
      <c r="AW93" s="9">
        <v>0</v>
      </c>
      <c r="AX93" s="9"/>
      <c r="AY93" s="7"/>
      <c r="BA93" s="7"/>
      <c r="BB93" s="7"/>
      <c r="BC93" s="9">
        <v>0</v>
      </c>
      <c r="BD93" s="9">
        <v>1</v>
      </c>
      <c r="BE93" s="9"/>
      <c r="BF93" s="9"/>
      <c r="BH93" s="7" t="s">
        <v>266</v>
      </c>
      <c r="BI93" s="7"/>
      <c r="BJ93" s="9">
        <v>2</v>
      </c>
      <c r="BK93" s="9">
        <v>0</v>
      </c>
      <c r="BL93" s="9"/>
      <c r="BM93" s="9"/>
      <c r="BN93" s="9"/>
      <c r="BO93" s="7"/>
      <c r="BQ93" s="7"/>
      <c r="BR93" s="7"/>
      <c r="BS93" s="9">
        <v>1</v>
      </c>
      <c r="BT93" s="9">
        <v>0</v>
      </c>
      <c r="BU93" s="9"/>
      <c r="BV93" s="7"/>
      <c r="BX93" s="7"/>
      <c r="BY93" s="7"/>
      <c r="BZ93" s="9">
        <v>0</v>
      </c>
      <c r="CA93" s="9">
        <v>3</v>
      </c>
      <c r="CB93" s="9"/>
      <c r="CC93" s="7"/>
      <c r="CD93" s="7"/>
      <c r="CE93" s="7"/>
      <c r="CF93" s="7"/>
      <c r="CH93" s="7"/>
      <c r="CI93" s="7"/>
      <c r="CJ93" s="9">
        <v>0</v>
      </c>
      <c r="CK93" s="9">
        <v>1</v>
      </c>
      <c r="CL93" s="9"/>
      <c r="CM93" s="7"/>
      <c r="CO93" s="38"/>
      <c r="CP93" s="38"/>
      <c r="CQ93" s="41">
        <v>0</v>
      </c>
      <c r="CR93" s="41">
        <v>0</v>
      </c>
      <c r="CS93" s="41">
        <v>2</v>
      </c>
      <c r="CT93" s="41">
        <v>2</v>
      </c>
    </row>
    <row r="94" spans="1:98">
      <c r="A94" s="7" t="s">
        <v>108</v>
      </c>
      <c r="B94" s="7">
        <v>4</v>
      </c>
      <c r="C94" s="9" t="s">
        <v>58</v>
      </c>
      <c r="D94" s="9" t="s">
        <v>561</v>
      </c>
      <c r="E94" s="9"/>
      <c r="F94" s="7"/>
      <c r="G94" s="7"/>
      <c r="H94" s="7"/>
      <c r="I94" s="7"/>
      <c r="J94" s="7"/>
      <c r="L94" s="7" t="s">
        <v>157</v>
      </c>
      <c r="M94" s="7">
        <v>4</v>
      </c>
      <c r="N94" s="9" t="s">
        <v>84</v>
      </c>
      <c r="O94" s="9" t="s">
        <v>88</v>
      </c>
      <c r="P94" s="9"/>
      <c r="Q94" s="7"/>
      <c r="R94" s="7"/>
      <c r="S94" s="7"/>
      <c r="U94" s="7" t="s">
        <v>200</v>
      </c>
      <c r="V94" s="7">
        <v>4</v>
      </c>
      <c r="W94" s="9" t="s">
        <v>588</v>
      </c>
      <c r="X94" s="9" t="s">
        <v>41</v>
      </c>
      <c r="Y94" s="9"/>
      <c r="Z94" s="9"/>
      <c r="AA94" s="9"/>
      <c r="AB94" s="7"/>
      <c r="AD94" s="7" t="s">
        <v>220</v>
      </c>
      <c r="AE94" s="7">
        <v>4</v>
      </c>
      <c r="AF94" s="9" t="s">
        <v>70</v>
      </c>
      <c r="AG94" s="9" t="s">
        <v>82</v>
      </c>
      <c r="AH94" s="9"/>
      <c r="AI94" s="7"/>
      <c r="AJ94" s="7"/>
      <c r="AK94" s="7"/>
      <c r="AM94" s="7"/>
      <c r="AN94" s="7">
        <v>4</v>
      </c>
      <c r="AO94" s="9" t="s">
        <v>547</v>
      </c>
      <c r="AP94" s="9" t="s">
        <v>9</v>
      </c>
      <c r="AQ94" s="9"/>
      <c r="AR94" s="7"/>
      <c r="AT94" s="7"/>
      <c r="AU94" s="7">
        <v>4</v>
      </c>
      <c r="AV94" s="9" t="s">
        <v>588</v>
      </c>
      <c r="AW94" s="9" t="s">
        <v>2</v>
      </c>
      <c r="AX94" s="9"/>
      <c r="AY94" s="7"/>
      <c r="BA94" s="7" t="s">
        <v>276</v>
      </c>
      <c r="BB94" s="7">
        <v>4</v>
      </c>
      <c r="BC94" s="9" t="s">
        <v>88</v>
      </c>
      <c r="BD94" s="9" t="s">
        <v>24</v>
      </c>
      <c r="BE94" s="9"/>
      <c r="BF94" s="9"/>
      <c r="BH94" s="7"/>
      <c r="BI94" s="7">
        <v>4</v>
      </c>
      <c r="BJ94" s="9" t="s">
        <v>64</v>
      </c>
      <c r="BK94" s="9" t="s">
        <v>75</v>
      </c>
      <c r="BL94" s="9"/>
      <c r="BM94" s="9"/>
      <c r="BN94" s="9"/>
      <c r="BO94" s="7"/>
      <c r="BQ94" s="7"/>
      <c r="BR94" s="7">
        <v>4</v>
      </c>
      <c r="BS94" s="9" t="s">
        <v>588</v>
      </c>
      <c r="BT94" s="9" t="s">
        <v>82</v>
      </c>
      <c r="BU94" s="9"/>
      <c r="BV94" s="7"/>
      <c r="BX94" s="7" t="s">
        <v>200</v>
      </c>
      <c r="BY94" s="7">
        <v>4</v>
      </c>
      <c r="BZ94" s="9" t="s">
        <v>546</v>
      </c>
      <c r="CA94" s="9" t="s">
        <v>1</v>
      </c>
      <c r="CB94" s="9"/>
      <c r="CC94" s="7"/>
      <c r="CD94" s="7"/>
      <c r="CE94" s="7"/>
      <c r="CF94" s="7"/>
      <c r="CH94" s="7"/>
      <c r="CI94" s="7">
        <v>4</v>
      </c>
      <c r="CJ94" s="9" t="s">
        <v>588</v>
      </c>
      <c r="CK94" s="9" t="s">
        <v>2</v>
      </c>
      <c r="CL94" s="9"/>
      <c r="CM94" s="7"/>
      <c r="CO94" s="38" t="s">
        <v>157</v>
      </c>
      <c r="CP94" s="38">
        <v>4</v>
      </c>
      <c r="CQ94" s="41" t="s">
        <v>55</v>
      </c>
      <c r="CR94" s="41" t="s">
        <v>147</v>
      </c>
      <c r="CS94" s="41"/>
      <c r="CT94" s="38"/>
    </row>
    <row r="95" spans="1:98">
      <c r="A95" s="7"/>
      <c r="B95" s="7"/>
      <c r="C95" s="9">
        <v>0</v>
      </c>
      <c r="D95" s="9">
        <v>2</v>
      </c>
      <c r="E95" s="9"/>
      <c r="F95" s="7"/>
      <c r="G95" s="7"/>
      <c r="H95" s="7"/>
      <c r="I95" s="7"/>
      <c r="J95" s="7"/>
      <c r="L95" s="7"/>
      <c r="M95" s="7"/>
      <c r="N95" s="9">
        <v>0</v>
      </c>
      <c r="O95" s="9">
        <v>1</v>
      </c>
      <c r="P95" s="9"/>
      <c r="Q95" s="7"/>
      <c r="R95" s="7"/>
      <c r="S95" s="7"/>
      <c r="U95" s="7" t="s">
        <v>597</v>
      </c>
      <c r="V95" s="7"/>
      <c r="W95" s="9">
        <v>1</v>
      </c>
      <c r="X95" s="9">
        <v>0</v>
      </c>
      <c r="Y95" s="9"/>
      <c r="Z95" s="9"/>
      <c r="AA95" s="9"/>
      <c r="AB95" s="7"/>
      <c r="AD95" s="7"/>
      <c r="AE95" s="7"/>
      <c r="AF95" s="9">
        <v>1</v>
      </c>
      <c r="AG95" s="9">
        <v>0</v>
      </c>
      <c r="AH95" s="9"/>
      <c r="AI95" s="7"/>
      <c r="AJ95" s="7"/>
      <c r="AK95" s="7"/>
      <c r="AM95" s="7"/>
      <c r="AN95" s="7"/>
      <c r="AO95" s="9">
        <v>2</v>
      </c>
      <c r="AP95" s="9">
        <v>0</v>
      </c>
      <c r="AQ95" s="9"/>
      <c r="AR95" s="7"/>
      <c r="AT95" s="7"/>
      <c r="AU95" s="7"/>
      <c r="AV95" s="9">
        <v>1</v>
      </c>
      <c r="AW95" s="9">
        <v>0</v>
      </c>
      <c r="AX95" s="9"/>
      <c r="AY95" s="7"/>
      <c r="BA95" s="7"/>
      <c r="BB95" s="7"/>
      <c r="BC95" s="9">
        <v>1</v>
      </c>
      <c r="BD95" s="9">
        <v>0</v>
      </c>
      <c r="BE95" s="9"/>
      <c r="BF95" s="9"/>
      <c r="BH95" s="7"/>
      <c r="BI95" s="7"/>
      <c r="BJ95" s="9">
        <v>0</v>
      </c>
      <c r="BK95" s="9">
        <v>2</v>
      </c>
      <c r="BL95" s="9"/>
      <c r="BM95" s="9"/>
      <c r="BN95" s="9"/>
      <c r="BO95" s="7"/>
      <c r="BQ95" s="7"/>
      <c r="BR95" s="7"/>
      <c r="BS95" s="9">
        <v>1</v>
      </c>
      <c r="BT95" s="9">
        <v>0</v>
      </c>
      <c r="BU95" s="9"/>
      <c r="BV95" s="7"/>
      <c r="BX95" s="7" t="s">
        <v>674</v>
      </c>
      <c r="BY95" s="7"/>
      <c r="BZ95" s="9">
        <v>1</v>
      </c>
      <c r="CA95" s="9">
        <v>0</v>
      </c>
      <c r="CB95" s="9"/>
      <c r="CC95" s="7"/>
      <c r="CD95" s="7"/>
      <c r="CE95" s="7"/>
      <c r="CF95" s="7"/>
      <c r="CH95" s="7"/>
      <c r="CI95" s="7"/>
      <c r="CJ95" s="9">
        <v>2</v>
      </c>
      <c r="CK95" s="9">
        <v>0</v>
      </c>
      <c r="CL95" s="9"/>
      <c r="CM95" s="7"/>
      <c r="CO95" s="38"/>
      <c r="CP95" s="38"/>
      <c r="CQ95" s="41">
        <v>0</v>
      </c>
      <c r="CR95" s="41">
        <v>2</v>
      </c>
      <c r="CS95" s="41"/>
      <c r="CT95" s="38"/>
    </row>
    <row r="96" spans="1:98">
      <c r="A96" s="7" t="s">
        <v>223</v>
      </c>
      <c r="B96" s="7">
        <v>5</v>
      </c>
      <c r="C96" s="9" t="s">
        <v>138</v>
      </c>
      <c r="D96" s="9" t="s">
        <v>64</v>
      </c>
      <c r="E96" s="9"/>
      <c r="F96" s="7"/>
      <c r="G96" s="7"/>
      <c r="H96" s="7"/>
      <c r="I96" s="7"/>
      <c r="J96" s="7"/>
      <c r="L96" s="7"/>
      <c r="M96" s="7">
        <v>5</v>
      </c>
      <c r="N96" s="9" t="s">
        <v>64</v>
      </c>
      <c r="O96" s="9" t="s">
        <v>138</v>
      </c>
      <c r="P96" s="9"/>
      <c r="Q96" s="7"/>
      <c r="R96" s="7"/>
      <c r="S96" s="7"/>
      <c r="U96" s="7" t="s">
        <v>598</v>
      </c>
      <c r="V96" s="7">
        <v>5</v>
      </c>
      <c r="W96" s="9" t="s">
        <v>24</v>
      </c>
      <c r="X96" s="9" t="s">
        <v>112</v>
      </c>
      <c r="Y96" s="9"/>
      <c r="Z96" s="9"/>
      <c r="AA96" s="9"/>
      <c r="AB96" s="7"/>
      <c r="AD96" s="7" t="s">
        <v>220</v>
      </c>
      <c r="AE96" s="7">
        <v>5</v>
      </c>
      <c r="AF96" s="9" t="s">
        <v>63</v>
      </c>
      <c r="AG96" s="9" t="s">
        <v>142</v>
      </c>
      <c r="AH96" s="9"/>
      <c r="AI96" s="7"/>
      <c r="AJ96" s="7"/>
      <c r="AK96" s="7"/>
      <c r="AM96" s="7" t="s">
        <v>200</v>
      </c>
      <c r="AN96" s="7">
        <v>5</v>
      </c>
      <c r="AO96" s="9" t="s">
        <v>81</v>
      </c>
      <c r="AP96" s="9" t="s">
        <v>290</v>
      </c>
      <c r="AQ96" s="9"/>
      <c r="AR96" s="7"/>
      <c r="AT96" s="7" t="s">
        <v>200</v>
      </c>
      <c r="AU96" s="7">
        <v>5</v>
      </c>
      <c r="AV96" s="9" t="s">
        <v>446</v>
      </c>
      <c r="AW96" s="9" t="s">
        <v>169</v>
      </c>
      <c r="AX96" s="9"/>
      <c r="AY96" s="7"/>
      <c r="BA96" s="7" t="s">
        <v>644</v>
      </c>
      <c r="BB96" s="7">
        <v>5</v>
      </c>
      <c r="BC96" s="9" t="s">
        <v>77</v>
      </c>
      <c r="BD96" s="9" t="s">
        <v>143</v>
      </c>
      <c r="BE96" s="9"/>
      <c r="BF96" s="9"/>
      <c r="BH96" s="7" t="s">
        <v>309</v>
      </c>
      <c r="BI96" s="7">
        <v>5</v>
      </c>
      <c r="BJ96" s="9" t="s">
        <v>143</v>
      </c>
      <c r="BK96" s="9" t="s">
        <v>50</v>
      </c>
      <c r="BL96" s="9"/>
      <c r="BM96" s="9"/>
      <c r="BN96" s="9"/>
      <c r="BO96" s="7"/>
      <c r="BQ96" s="7" t="s">
        <v>200</v>
      </c>
      <c r="BR96" s="7">
        <v>5</v>
      </c>
      <c r="BS96" s="9" t="s">
        <v>2</v>
      </c>
      <c r="BT96" s="9" t="s">
        <v>75</v>
      </c>
      <c r="BU96" s="9"/>
      <c r="BV96" s="7"/>
      <c r="BX96" s="7" t="s">
        <v>670</v>
      </c>
      <c r="BY96" s="7">
        <v>5</v>
      </c>
      <c r="BZ96" s="9" t="s">
        <v>143</v>
      </c>
      <c r="CA96" s="9" t="s">
        <v>50</v>
      </c>
      <c r="CB96" s="9"/>
      <c r="CC96" s="7"/>
      <c r="CD96" s="7"/>
      <c r="CE96" s="7"/>
      <c r="CF96" s="7"/>
      <c r="CH96" s="7" t="s">
        <v>157</v>
      </c>
      <c r="CI96" s="7">
        <v>5</v>
      </c>
      <c r="CJ96" s="9" t="s">
        <v>546</v>
      </c>
      <c r="CK96" s="9" t="s">
        <v>82</v>
      </c>
      <c r="CL96" s="9"/>
      <c r="CM96" s="7"/>
      <c r="CO96" s="38" t="s">
        <v>309</v>
      </c>
      <c r="CP96" s="38">
        <v>5</v>
      </c>
      <c r="CQ96" s="41" t="s">
        <v>546</v>
      </c>
      <c r="CR96" s="41" t="s">
        <v>50</v>
      </c>
      <c r="CS96" s="41" t="s">
        <v>2</v>
      </c>
      <c r="CT96" s="38"/>
    </row>
    <row r="97" spans="1:98">
      <c r="A97" s="7"/>
      <c r="B97" s="7"/>
      <c r="C97" s="9">
        <v>3</v>
      </c>
      <c r="D97" s="9">
        <v>0</v>
      </c>
      <c r="E97" s="9"/>
      <c r="F97" s="7"/>
      <c r="G97" s="7"/>
      <c r="H97" s="7"/>
      <c r="I97" s="7"/>
      <c r="J97" s="7"/>
      <c r="L97" s="7"/>
      <c r="M97" s="7"/>
      <c r="N97" s="9">
        <v>0</v>
      </c>
      <c r="O97" s="9">
        <v>2</v>
      </c>
      <c r="P97" s="9"/>
      <c r="Q97" s="7"/>
      <c r="R97" s="7"/>
      <c r="S97" s="7"/>
      <c r="U97" s="7"/>
      <c r="V97" s="7"/>
      <c r="W97" s="9">
        <v>0</v>
      </c>
      <c r="X97" s="9">
        <v>3</v>
      </c>
      <c r="Y97" s="9"/>
      <c r="Z97" s="9"/>
      <c r="AA97" s="9"/>
      <c r="AB97" s="7"/>
      <c r="AD97" s="7"/>
      <c r="AE97" s="7"/>
      <c r="AF97" s="9">
        <v>0</v>
      </c>
      <c r="AG97" s="9">
        <v>1</v>
      </c>
      <c r="AH97" s="9"/>
      <c r="AI97" s="7"/>
      <c r="AJ97" s="7"/>
      <c r="AK97" s="7"/>
      <c r="AM97" s="7" t="s">
        <v>611</v>
      </c>
      <c r="AN97" s="7"/>
      <c r="AO97" s="9">
        <v>1</v>
      </c>
      <c r="AP97" s="9">
        <v>0</v>
      </c>
      <c r="AQ97" s="9"/>
      <c r="AR97" s="7"/>
      <c r="AT97" s="7" t="s">
        <v>638</v>
      </c>
      <c r="AU97" s="7"/>
      <c r="AV97" s="9">
        <v>0</v>
      </c>
      <c r="AW97" s="9">
        <v>1</v>
      </c>
      <c r="AX97" s="9"/>
      <c r="AY97" s="7"/>
      <c r="BA97" s="7"/>
      <c r="BB97" s="7"/>
      <c r="BC97" s="9">
        <v>0</v>
      </c>
      <c r="BD97" s="9">
        <v>1</v>
      </c>
      <c r="BE97" s="9"/>
      <c r="BF97" s="9"/>
      <c r="BH97" s="7"/>
      <c r="BI97" s="7"/>
      <c r="BJ97" s="9">
        <v>3</v>
      </c>
      <c r="BK97" s="9">
        <v>0</v>
      </c>
      <c r="BL97" s="9"/>
      <c r="BM97" s="9"/>
      <c r="BN97" s="9"/>
      <c r="BO97" s="7"/>
      <c r="BQ97" s="7" t="s">
        <v>611</v>
      </c>
      <c r="BR97" s="7"/>
      <c r="BS97" s="9">
        <v>0</v>
      </c>
      <c r="BT97" s="9">
        <v>3</v>
      </c>
      <c r="BU97" s="9"/>
      <c r="BV97" s="7"/>
      <c r="BX97" s="7"/>
      <c r="BY97" s="7"/>
      <c r="BZ97" s="9">
        <v>2</v>
      </c>
      <c r="CA97" s="9">
        <v>0</v>
      </c>
      <c r="CB97" s="9"/>
      <c r="CC97" s="7"/>
      <c r="CD97" s="7"/>
      <c r="CE97" s="7"/>
      <c r="CF97" s="7"/>
      <c r="CH97" s="7"/>
      <c r="CI97" s="7"/>
      <c r="CJ97" s="9">
        <v>1</v>
      </c>
      <c r="CK97" s="9">
        <v>0</v>
      </c>
      <c r="CL97" s="9"/>
      <c r="CM97" s="7"/>
      <c r="CO97" s="38"/>
      <c r="CP97" s="38"/>
      <c r="CQ97" s="41">
        <v>1</v>
      </c>
      <c r="CR97" s="41">
        <v>0</v>
      </c>
      <c r="CS97" s="41">
        <v>0</v>
      </c>
      <c r="CT97" s="38"/>
    </row>
    <row r="98" spans="1:98">
      <c r="CO98" s="32"/>
      <c r="CP98" s="32"/>
      <c r="CQ98" s="32"/>
      <c r="CR98" s="32"/>
      <c r="CS98" s="32"/>
      <c r="CT98" s="32"/>
    </row>
    <row r="99" spans="1:98" ht="21">
      <c r="A99" s="90"/>
      <c r="B99" s="91" t="s">
        <v>429</v>
      </c>
      <c r="C99" s="105" t="s">
        <v>458</v>
      </c>
      <c r="D99" s="92"/>
      <c r="E99" s="90"/>
      <c r="F99" s="90"/>
      <c r="G99" s="90"/>
      <c r="H99" s="90"/>
      <c r="I99" s="90"/>
      <c r="J99" s="90"/>
      <c r="L99" s="90"/>
      <c r="M99" s="91" t="s">
        <v>429</v>
      </c>
      <c r="N99" s="105" t="s">
        <v>463</v>
      </c>
      <c r="O99" s="92"/>
      <c r="P99" s="90"/>
      <c r="Q99" s="90"/>
      <c r="R99" s="90"/>
      <c r="S99" s="90"/>
      <c r="U99" s="90"/>
      <c r="V99" s="91" t="s">
        <v>429</v>
      </c>
      <c r="W99" s="128" t="s">
        <v>718</v>
      </c>
      <c r="X99" s="92"/>
      <c r="Y99" s="90"/>
      <c r="Z99" s="90"/>
      <c r="AA99" s="90"/>
      <c r="AB99" s="90"/>
      <c r="AD99" s="90"/>
      <c r="AE99" s="91" t="s">
        <v>429</v>
      </c>
      <c r="AF99" s="105" t="s">
        <v>181</v>
      </c>
      <c r="AG99" s="92"/>
      <c r="AH99" s="90"/>
      <c r="AI99" s="90"/>
      <c r="AJ99" s="90"/>
      <c r="AK99" s="90"/>
      <c r="AM99" s="90"/>
      <c r="AN99" s="91" t="s">
        <v>429</v>
      </c>
      <c r="AO99" s="105" t="s">
        <v>469</v>
      </c>
      <c r="AP99" s="92"/>
      <c r="AQ99" s="90"/>
      <c r="AR99" s="90"/>
      <c r="AT99" s="90"/>
      <c r="AU99" s="91" t="s">
        <v>429</v>
      </c>
      <c r="AV99" s="105" t="s">
        <v>478</v>
      </c>
      <c r="AW99" s="92"/>
      <c r="AX99" s="90"/>
      <c r="AY99" s="90" t="s">
        <v>639</v>
      </c>
      <c r="BA99" s="90"/>
      <c r="BB99" s="91" t="s">
        <v>429</v>
      </c>
      <c r="BC99" s="105" t="s">
        <v>487</v>
      </c>
      <c r="BD99" s="92"/>
      <c r="BE99" s="90"/>
      <c r="BF99" s="92"/>
      <c r="BH99" s="90"/>
      <c r="BI99" s="91" t="s">
        <v>429</v>
      </c>
      <c r="BJ99" s="105" t="s">
        <v>492</v>
      </c>
      <c r="BK99" s="92"/>
      <c r="BL99" s="90"/>
      <c r="BM99" s="90"/>
      <c r="BN99" s="90"/>
      <c r="BO99" s="90"/>
      <c r="BQ99" s="90"/>
      <c r="BR99" s="91" t="s">
        <v>429</v>
      </c>
      <c r="BS99" s="128" t="s">
        <v>895</v>
      </c>
      <c r="BT99" s="92"/>
      <c r="BU99" s="90"/>
      <c r="BV99" s="90"/>
      <c r="BX99" s="90"/>
      <c r="BY99" s="91" t="s">
        <v>429</v>
      </c>
      <c r="BZ99" s="105" t="s">
        <v>506</v>
      </c>
      <c r="CA99" s="92"/>
      <c r="CB99" s="90"/>
      <c r="CC99" s="90"/>
      <c r="CD99" s="90"/>
      <c r="CE99" s="90"/>
      <c r="CF99" s="90"/>
      <c r="CH99" s="90"/>
      <c r="CI99" s="91" t="s">
        <v>429</v>
      </c>
      <c r="CJ99" s="105" t="s">
        <v>489</v>
      </c>
      <c r="CK99" s="92"/>
      <c r="CL99" s="90"/>
      <c r="CM99" s="90"/>
      <c r="CO99" s="93"/>
      <c r="CP99" s="94" t="s">
        <v>429</v>
      </c>
      <c r="CQ99" s="95" t="s">
        <v>239</v>
      </c>
      <c r="CR99" s="96"/>
      <c r="CS99" s="93"/>
      <c r="CT99" s="93"/>
    </row>
    <row r="100" spans="1:98">
      <c r="A100" s="90"/>
      <c r="B100" s="90">
        <v>1</v>
      </c>
      <c r="C100" s="92" t="s">
        <v>96</v>
      </c>
      <c r="D100" s="92" t="s">
        <v>23</v>
      </c>
      <c r="E100" s="92"/>
      <c r="F100" s="90"/>
      <c r="G100" s="90"/>
      <c r="H100" s="90"/>
      <c r="I100" s="90"/>
      <c r="J100" s="90"/>
      <c r="L100" s="90"/>
      <c r="M100" s="90">
        <v>1</v>
      </c>
      <c r="N100" s="92" t="s">
        <v>11</v>
      </c>
      <c r="O100" s="92" t="s">
        <v>72</v>
      </c>
      <c r="P100" s="92"/>
      <c r="Q100" s="90"/>
      <c r="R100" s="90"/>
      <c r="S100" s="90"/>
      <c r="U100" s="90"/>
      <c r="V100" s="90">
        <v>1</v>
      </c>
      <c r="W100" s="92" t="s">
        <v>54</v>
      </c>
      <c r="X100" s="92" t="s">
        <v>110</v>
      </c>
      <c r="Y100" s="92"/>
      <c r="Z100" s="92"/>
      <c r="AA100" s="92"/>
      <c r="AB100" s="90"/>
      <c r="AD100" s="90"/>
      <c r="AE100" s="90">
        <v>1</v>
      </c>
      <c r="AF100" s="92" t="s">
        <v>151</v>
      </c>
      <c r="AG100" s="92" t="s">
        <v>446</v>
      </c>
      <c r="AH100" s="92"/>
      <c r="AI100" s="90"/>
      <c r="AJ100" s="90"/>
      <c r="AK100" s="90"/>
      <c r="AM100" s="90"/>
      <c r="AN100" s="90">
        <v>1</v>
      </c>
      <c r="AO100" s="92" t="s">
        <v>550</v>
      </c>
      <c r="AP100" s="92" t="s">
        <v>44</v>
      </c>
      <c r="AQ100" s="92"/>
      <c r="AR100" s="90"/>
      <c r="AT100" s="90"/>
      <c r="AU100" s="90">
        <v>1</v>
      </c>
      <c r="AV100" s="92" t="s">
        <v>589</v>
      </c>
      <c r="AW100" s="92" t="s">
        <v>44</v>
      </c>
      <c r="AX100" s="92"/>
      <c r="AY100" s="90"/>
      <c r="BA100" s="90"/>
      <c r="BB100" s="90">
        <v>1</v>
      </c>
      <c r="BC100" s="92" t="s">
        <v>111</v>
      </c>
      <c r="BD100" s="92" t="s">
        <v>290</v>
      </c>
      <c r="BE100" s="92"/>
      <c r="BF100" s="92"/>
      <c r="BH100" s="90"/>
      <c r="BI100" s="90">
        <v>1</v>
      </c>
      <c r="BJ100" s="92" t="s">
        <v>111</v>
      </c>
      <c r="BK100" s="92" t="s">
        <v>7</v>
      </c>
      <c r="BL100" s="92"/>
      <c r="BM100" s="92"/>
      <c r="BN100" s="92"/>
      <c r="BO100" s="90"/>
      <c r="BQ100" s="90"/>
      <c r="BR100" s="90">
        <v>1</v>
      </c>
      <c r="BS100" s="92" t="s">
        <v>894</v>
      </c>
      <c r="BT100" s="92" t="s">
        <v>44</v>
      </c>
      <c r="BU100" s="92"/>
      <c r="BV100" s="90"/>
      <c r="BX100" s="90"/>
      <c r="BY100" s="90">
        <v>1</v>
      </c>
      <c r="BZ100" s="92" t="s">
        <v>123</v>
      </c>
      <c r="CA100" s="92" t="s">
        <v>7</v>
      </c>
      <c r="CB100" s="92"/>
      <c r="CC100" s="90"/>
      <c r="CD100" s="90"/>
      <c r="CE100" s="90"/>
      <c r="CF100" s="90"/>
      <c r="CH100" s="90"/>
      <c r="CI100" s="90">
        <v>1</v>
      </c>
      <c r="CJ100" s="92" t="s">
        <v>263</v>
      </c>
      <c r="CK100" s="92" t="s">
        <v>9</v>
      </c>
      <c r="CL100" s="92"/>
      <c r="CM100" s="90"/>
      <c r="CO100" s="93"/>
      <c r="CP100" s="93">
        <v>1</v>
      </c>
      <c r="CQ100" s="96" t="s">
        <v>21</v>
      </c>
      <c r="CR100" s="96" t="s">
        <v>72</v>
      </c>
      <c r="CS100" s="96"/>
      <c r="CT100" s="93"/>
    </row>
    <row r="101" spans="1:98">
      <c r="A101" s="90"/>
      <c r="B101" s="90"/>
      <c r="C101" s="92">
        <v>3</v>
      </c>
      <c r="D101" s="92">
        <v>0</v>
      </c>
      <c r="E101" s="92"/>
      <c r="F101" s="90"/>
      <c r="G101" s="90"/>
      <c r="H101" s="90"/>
      <c r="I101" s="90"/>
      <c r="J101" s="90"/>
      <c r="L101" s="90"/>
      <c r="M101" s="90"/>
      <c r="N101" s="92">
        <v>0</v>
      </c>
      <c r="O101" s="92">
        <v>1</v>
      </c>
      <c r="P101" s="92"/>
      <c r="Q101" s="90"/>
      <c r="R101" s="90"/>
      <c r="S101" s="90"/>
      <c r="U101" s="90"/>
      <c r="V101" s="90"/>
      <c r="W101" s="92">
        <v>0</v>
      </c>
      <c r="X101" s="92">
        <v>3</v>
      </c>
      <c r="Y101" s="92"/>
      <c r="Z101" s="92"/>
      <c r="AA101" s="92"/>
      <c r="AB101" s="90"/>
      <c r="AD101" s="90"/>
      <c r="AE101" s="90"/>
      <c r="AF101" s="92">
        <v>2</v>
      </c>
      <c r="AG101" s="92">
        <v>0</v>
      </c>
      <c r="AH101" s="92"/>
      <c r="AI101" s="90"/>
      <c r="AJ101" s="90"/>
      <c r="AK101" s="90"/>
      <c r="AM101" s="90"/>
      <c r="AN101" s="90"/>
      <c r="AO101" s="92">
        <v>3</v>
      </c>
      <c r="AP101" s="92">
        <v>0</v>
      </c>
      <c r="AQ101" s="92"/>
      <c r="AR101" s="90"/>
      <c r="AT101" s="90"/>
      <c r="AU101" s="90"/>
      <c r="AV101" s="92">
        <v>3</v>
      </c>
      <c r="AW101" s="92">
        <v>0</v>
      </c>
      <c r="AX101" s="92"/>
      <c r="AY101" s="90"/>
      <c r="BA101" s="90"/>
      <c r="BB101" s="90"/>
      <c r="BC101" s="92">
        <v>1</v>
      </c>
      <c r="BD101" s="92">
        <v>0</v>
      </c>
      <c r="BE101" s="92"/>
      <c r="BF101" s="92"/>
      <c r="BH101" s="90"/>
      <c r="BI101" s="90"/>
      <c r="BJ101" s="92">
        <v>3</v>
      </c>
      <c r="BK101" s="92">
        <v>0</v>
      </c>
      <c r="BL101" s="92"/>
      <c r="BM101" s="92"/>
      <c r="BN101" s="92"/>
      <c r="BO101" s="90"/>
      <c r="BQ101" s="90"/>
      <c r="BR101" s="90"/>
      <c r="BS101" s="92">
        <v>1</v>
      </c>
      <c r="BT101" s="92">
        <v>0</v>
      </c>
      <c r="BU101" s="92"/>
      <c r="BV101" s="90"/>
      <c r="BX101" s="90"/>
      <c r="BY101" s="90"/>
      <c r="BZ101" s="92">
        <v>3</v>
      </c>
      <c r="CA101" s="92">
        <v>0</v>
      </c>
      <c r="CB101" s="92"/>
      <c r="CC101" s="90"/>
      <c r="CD101" s="90"/>
      <c r="CE101" s="90"/>
      <c r="CF101" s="90"/>
      <c r="CH101" s="90"/>
      <c r="CI101" s="90"/>
      <c r="CJ101" s="92">
        <v>2</v>
      </c>
      <c r="CK101" s="92">
        <v>0</v>
      </c>
      <c r="CL101" s="92"/>
      <c r="CM101" s="90"/>
      <c r="CO101" s="93"/>
      <c r="CP101" s="93"/>
      <c r="CQ101" s="96">
        <v>0</v>
      </c>
      <c r="CR101" s="96">
        <v>2</v>
      </c>
      <c r="CS101" s="96"/>
      <c r="CT101" s="93"/>
    </row>
    <row r="102" spans="1:98">
      <c r="A102" s="90"/>
      <c r="B102" s="90">
        <v>2</v>
      </c>
      <c r="C102" s="92" t="s">
        <v>533</v>
      </c>
      <c r="D102" s="92" t="s">
        <v>141</v>
      </c>
      <c r="E102" s="92"/>
      <c r="F102" s="90"/>
      <c r="G102" s="90"/>
      <c r="H102" s="90"/>
      <c r="I102" s="90"/>
      <c r="J102" s="90"/>
      <c r="L102" s="90"/>
      <c r="M102" s="90">
        <v>2</v>
      </c>
      <c r="N102" s="92" t="s">
        <v>584</v>
      </c>
      <c r="O102" s="92" t="s">
        <v>54</v>
      </c>
      <c r="P102" s="92"/>
      <c r="Q102" s="90"/>
      <c r="R102" s="90"/>
      <c r="S102" s="90"/>
      <c r="U102" s="90"/>
      <c r="V102" s="90">
        <v>2</v>
      </c>
      <c r="W102" s="92" t="s">
        <v>151</v>
      </c>
      <c r="X102" s="92" t="s">
        <v>18</v>
      </c>
      <c r="Y102" s="92"/>
      <c r="Z102" s="92"/>
      <c r="AA102" s="92"/>
      <c r="AB102" s="90"/>
      <c r="AD102" s="90"/>
      <c r="AE102" s="90">
        <v>2</v>
      </c>
      <c r="AF102" s="92" t="s">
        <v>11</v>
      </c>
      <c r="AG102" s="92" t="s">
        <v>144</v>
      </c>
      <c r="AH102" s="92"/>
      <c r="AI102" s="90"/>
      <c r="AJ102" s="90"/>
      <c r="AK102" s="90"/>
      <c r="AM102" s="90"/>
      <c r="AN102" s="90">
        <v>2</v>
      </c>
      <c r="AO102" s="92" t="s">
        <v>551</v>
      </c>
      <c r="AP102" s="92" t="s">
        <v>446</v>
      </c>
      <c r="AQ102" s="92"/>
      <c r="AR102" s="90"/>
      <c r="AT102" s="90"/>
      <c r="AU102" s="90">
        <v>2</v>
      </c>
      <c r="AV102" s="92" t="s">
        <v>5</v>
      </c>
      <c r="AW102" s="92" t="s">
        <v>574</v>
      </c>
      <c r="AX102" s="92"/>
      <c r="AY102" s="90"/>
      <c r="BA102" s="90"/>
      <c r="BB102" s="90">
        <v>2</v>
      </c>
      <c r="BC102" s="92" t="s">
        <v>550</v>
      </c>
      <c r="BD102" s="92" t="s">
        <v>533</v>
      </c>
      <c r="BE102" s="92"/>
      <c r="BF102" s="92"/>
      <c r="BH102" s="90"/>
      <c r="BI102" s="90">
        <v>2</v>
      </c>
      <c r="BJ102" s="92" t="s">
        <v>44</v>
      </c>
      <c r="BK102" s="92" t="s">
        <v>585</v>
      </c>
      <c r="BL102" s="92"/>
      <c r="BM102" s="92"/>
      <c r="BN102" s="92"/>
      <c r="BO102" s="90"/>
      <c r="BQ102" s="90"/>
      <c r="BR102" s="90">
        <v>2</v>
      </c>
      <c r="BS102" s="92" t="s">
        <v>18</v>
      </c>
      <c r="BT102" s="92" t="s">
        <v>548</v>
      </c>
      <c r="BU102" s="92"/>
      <c r="BV102" s="90"/>
      <c r="BX102" s="90"/>
      <c r="BY102" s="90">
        <v>2</v>
      </c>
      <c r="BZ102" s="92" t="s">
        <v>111</v>
      </c>
      <c r="CA102" s="92" t="s">
        <v>66</v>
      </c>
      <c r="CB102" s="92"/>
      <c r="CC102" s="90"/>
      <c r="CD102" s="90"/>
      <c r="CE102" s="90"/>
      <c r="CF102" s="90"/>
      <c r="CH102" s="90"/>
      <c r="CI102" s="90">
        <v>2</v>
      </c>
      <c r="CJ102" s="92" t="s">
        <v>290</v>
      </c>
      <c r="CK102" s="92" t="s">
        <v>557</v>
      </c>
      <c r="CL102" s="92"/>
      <c r="CM102" s="90"/>
      <c r="CO102" s="93"/>
      <c r="CP102" s="93">
        <v>2</v>
      </c>
      <c r="CQ102" s="96" t="s">
        <v>222</v>
      </c>
      <c r="CR102" s="96" t="s">
        <v>18</v>
      </c>
      <c r="CS102" s="96"/>
      <c r="CT102" s="93"/>
    </row>
    <row r="103" spans="1:98">
      <c r="A103" s="90"/>
      <c r="B103" s="90"/>
      <c r="C103" s="92">
        <v>0</v>
      </c>
      <c r="D103" s="92">
        <v>2</v>
      </c>
      <c r="E103" s="92"/>
      <c r="F103" s="90"/>
      <c r="G103" s="90"/>
      <c r="H103" s="90"/>
      <c r="I103" s="90"/>
      <c r="J103" s="90"/>
      <c r="L103" s="90"/>
      <c r="M103" s="90"/>
      <c r="N103" s="92">
        <v>1</v>
      </c>
      <c r="O103" s="92">
        <v>0</v>
      </c>
      <c r="P103" s="92"/>
      <c r="Q103" s="90"/>
      <c r="R103" s="90"/>
      <c r="S103" s="90"/>
      <c r="U103" s="90"/>
      <c r="V103" s="90"/>
      <c r="W103" s="92">
        <v>2</v>
      </c>
      <c r="X103" s="92">
        <v>0</v>
      </c>
      <c r="Y103" s="92"/>
      <c r="Z103" s="92"/>
      <c r="AA103" s="92"/>
      <c r="AB103" s="90"/>
      <c r="AD103" s="90"/>
      <c r="AE103" s="90"/>
      <c r="AF103" s="92">
        <v>0</v>
      </c>
      <c r="AG103" s="92">
        <v>1</v>
      </c>
      <c r="AH103" s="92"/>
      <c r="AI103" s="90"/>
      <c r="AJ103" s="90"/>
      <c r="AK103" s="90"/>
      <c r="AM103" s="90"/>
      <c r="AN103" s="90"/>
      <c r="AO103" s="92">
        <v>1</v>
      </c>
      <c r="AP103" s="92">
        <v>0</v>
      </c>
      <c r="AQ103" s="92"/>
      <c r="AR103" s="90"/>
      <c r="AT103" s="90"/>
      <c r="AU103" s="90"/>
      <c r="AV103" s="92">
        <v>0</v>
      </c>
      <c r="AW103" s="92">
        <v>2</v>
      </c>
      <c r="AX103" s="92"/>
      <c r="AY103" s="90"/>
      <c r="BA103" s="90"/>
      <c r="BB103" s="90"/>
      <c r="BC103" s="92">
        <v>2</v>
      </c>
      <c r="BD103" s="92">
        <v>0</v>
      </c>
      <c r="BE103" s="92"/>
      <c r="BF103" s="92"/>
      <c r="BH103" s="90"/>
      <c r="BI103" s="90"/>
      <c r="BJ103" s="92">
        <v>0</v>
      </c>
      <c r="BK103" s="92">
        <v>2</v>
      </c>
      <c r="BL103" s="92"/>
      <c r="BM103" s="92"/>
      <c r="BN103" s="92"/>
      <c r="BO103" s="90"/>
      <c r="BQ103" s="90"/>
      <c r="BR103" s="90"/>
      <c r="BS103" s="92">
        <v>0</v>
      </c>
      <c r="BT103" s="92">
        <v>2</v>
      </c>
      <c r="BU103" s="92"/>
      <c r="BV103" s="90"/>
      <c r="BX103" s="90"/>
      <c r="BY103" s="90"/>
      <c r="BZ103" s="92">
        <v>2</v>
      </c>
      <c r="CA103" s="92">
        <v>0</v>
      </c>
      <c r="CB103" s="92"/>
      <c r="CC103" s="90"/>
      <c r="CD103" s="90"/>
      <c r="CE103" s="90"/>
      <c r="CF103" s="90"/>
      <c r="CH103" s="90"/>
      <c r="CI103" s="90"/>
      <c r="CJ103" s="92">
        <v>0</v>
      </c>
      <c r="CK103" s="92">
        <v>2</v>
      </c>
      <c r="CL103" s="92"/>
      <c r="CM103" s="90"/>
      <c r="CO103" s="93"/>
      <c r="CP103" s="93"/>
      <c r="CQ103" s="96">
        <v>3</v>
      </c>
      <c r="CR103" s="96">
        <v>0</v>
      </c>
      <c r="CS103" s="96"/>
      <c r="CT103" s="93"/>
    </row>
    <row r="104" spans="1:98">
      <c r="A104" s="90" t="s">
        <v>556</v>
      </c>
      <c r="B104" s="90">
        <v>3</v>
      </c>
      <c r="C104" s="92" t="s">
        <v>54</v>
      </c>
      <c r="D104" s="92" t="s">
        <v>71</v>
      </c>
      <c r="E104" s="90"/>
      <c r="F104" s="90"/>
      <c r="G104" s="90"/>
      <c r="H104" s="90"/>
      <c r="I104" s="90"/>
      <c r="J104" s="90"/>
      <c r="L104" s="90"/>
      <c r="M104" s="90">
        <v>3</v>
      </c>
      <c r="N104" s="92" t="s">
        <v>551</v>
      </c>
      <c r="O104" s="92" t="s">
        <v>446</v>
      </c>
      <c r="P104" s="90"/>
      <c r="Q104" s="90"/>
      <c r="R104" s="90"/>
      <c r="S104" s="90"/>
      <c r="U104" s="90" t="s">
        <v>829</v>
      </c>
      <c r="V104" s="90">
        <v>3</v>
      </c>
      <c r="W104" s="92" t="s">
        <v>7</v>
      </c>
      <c r="X104" s="92" t="s">
        <v>584</v>
      </c>
      <c r="Y104" s="90"/>
      <c r="Z104" s="90"/>
      <c r="AA104" s="90"/>
      <c r="AB104" s="90"/>
      <c r="AD104" s="90" t="s">
        <v>220</v>
      </c>
      <c r="AE104" s="90">
        <v>3</v>
      </c>
      <c r="AF104" s="92" t="s">
        <v>96</v>
      </c>
      <c r="AG104" s="92" t="s">
        <v>7</v>
      </c>
      <c r="AH104" s="90"/>
      <c r="AI104" s="90"/>
      <c r="AJ104" s="90"/>
      <c r="AK104" s="90"/>
      <c r="AM104" s="90"/>
      <c r="AN104" s="90">
        <v>3</v>
      </c>
      <c r="AO104" s="92" t="s">
        <v>144</v>
      </c>
      <c r="AP104" s="92" t="s">
        <v>66</v>
      </c>
      <c r="AQ104" s="90"/>
      <c r="AR104" s="90"/>
      <c r="AT104" s="90"/>
      <c r="AU104" s="90">
        <v>3</v>
      </c>
      <c r="AV104" s="92" t="s">
        <v>66</v>
      </c>
      <c r="AW104" s="92" t="s">
        <v>584</v>
      </c>
      <c r="AX104" s="90"/>
      <c r="AY104" s="90"/>
      <c r="BA104" s="90" t="s">
        <v>274</v>
      </c>
      <c r="BB104" s="90">
        <v>3</v>
      </c>
      <c r="BC104" s="92" t="s">
        <v>12</v>
      </c>
      <c r="BD104" s="92" t="s">
        <v>72</v>
      </c>
      <c r="BE104" s="90"/>
      <c r="BF104" s="92"/>
      <c r="BH104" s="90" t="s">
        <v>658</v>
      </c>
      <c r="BI104" s="90">
        <v>3</v>
      </c>
      <c r="BJ104" s="92" t="s">
        <v>586</v>
      </c>
      <c r="BK104" s="92" t="s">
        <v>5</v>
      </c>
      <c r="BL104" s="90"/>
      <c r="BM104" s="90"/>
      <c r="BN104" s="90"/>
      <c r="BO104" s="90"/>
      <c r="BQ104" s="90"/>
      <c r="BR104" s="90">
        <v>3</v>
      </c>
      <c r="BS104" s="92" t="s">
        <v>59</v>
      </c>
      <c r="BT104" s="92" t="s">
        <v>138</v>
      </c>
      <c r="BU104" s="90"/>
      <c r="BV104" s="90"/>
      <c r="BX104" s="90"/>
      <c r="BY104" s="90">
        <v>3</v>
      </c>
      <c r="BZ104" s="92" t="s">
        <v>550</v>
      </c>
      <c r="CA104" s="92" t="s">
        <v>18</v>
      </c>
      <c r="CB104" s="90"/>
      <c r="CC104" s="90"/>
      <c r="CD104" s="90"/>
      <c r="CE104" s="90"/>
      <c r="CF104" s="90"/>
      <c r="CH104" s="90"/>
      <c r="CI104" s="90">
        <v>3</v>
      </c>
      <c r="CJ104" s="92" t="s">
        <v>151</v>
      </c>
      <c r="CK104" s="92" t="s">
        <v>680</v>
      </c>
      <c r="CL104" s="90"/>
      <c r="CM104" s="90"/>
      <c r="CO104" s="93"/>
      <c r="CP104" s="93">
        <v>3</v>
      </c>
      <c r="CQ104" s="96" t="s">
        <v>11</v>
      </c>
      <c r="CR104" s="96" t="s">
        <v>123</v>
      </c>
      <c r="CS104" s="93"/>
      <c r="CT104" s="93"/>
    </row>
    <row r="105" spans="1:98">
      <c r="A105" s="90" t="s">
        <v>570</v>
      </c>
      <c r="B105" s="90"/>
      <c r="C105" s="92">
        <v>-2</v>
      </c>
      <c r="D105" s="92">
        <v>2</v>
      </c>
      <c r="E105" s="92"/>
      <c r="F105" s="90"/>
      <c r="G105" s="90"/>
      <c r="H105" s="90"/>
      <c r="I105" s="90"/>
      <c r="J105" s="90"/>
      <c r="L105" s="90"/>
      <c r="M105" s="90"/>
      <c r="N105" s="92">
        <v>2</v>
      </c>
      <c r="O105" s="92">
        <v>0</v>
      </c>
      <c r="P105" s="92"/>
      <c r="Q105" s="90"/>
      <c r="R105" s="90"/>
      <c r="S105" s="90"/>
      <c r="U105" s="90"/>
      <c r="V105" s="90"/>
      <c r="W105" s="92">
        <v>0</v>
      </c>
      <c r="X105" s="92">
        <v>1</v>
      </c>
      <c r="Y105" s="92"/>
      <c r="Z105" s="92"/>
      <c r="AA105" s="92"/>
      <c r="AB105" s="90"/>
      <c r="AD105" s="90"/>
      <c r="AE105" s="90"/>
      <c r="AF105" s="92">
        <v>1</v>
      </c>
      <c r="AG105" s="92">
        <v>0</v>
      </c>
      <c r="AH105" s="92"/>
      <c r="AI105" s="90"/>
      <c r="AJ105" s="90"/>
      <c r="AK105" s="90"/>
      <c r="AM105" s="90"/>
      <c r="AN105" s="90"/>
      <c r="AO105" s="92">
        <v>2</v>
      </c>
      <c r="AP105" s="92">
        <v>0</v>
      </c>
      <c r="AQ105" s="92"/>
      <c r="AR105" s="90"/>
      <c r="AT105" s="90"/>
      <c r="AU105" s="90"/>
      <c r="AV105" s="92">
        <v>0</v>
      </c>
      <c r="AW105" s="92">
        <v>1</v>
      </c>
      <c r="AX105" s="92"/>
      <c r="AY105" s="90"/>
      <c r="BA105" s="90"/>
      <c r="BB105" s="90"/>
      <c r="BC105" s="92">
        <v>0</v>
      </c>
      <c r="BD105" s="92">
        <v>1</v>
      </c>
      <c r="BE105" s="92"/>
      <c r="BF105" s="92"/>
      <c r="BH105" s="90"/>
      <c r="BI105" s="90"/>
      <c r="BJ105" s="92">
        <v>1</v>
      </c>
      <c r="BK105" s="92">
        <v>0</v>
      </c>
      <c r="BL105" s="92"/>
      <c r="BM105" s="92"/>
      <c r="BN105" s="92"/>
      <c r="BO105" s="90"/>
      <c r="BQ105" s="90"/>
      <c r="BR105" s="90"/>
      <c r="BS105" s="92">
        <v>0</v>
      </c>
      <c r="BT105" s="92">
        <v>2</v>
      </c>
      <c r="BU105" s="92"/>
      <c r="BV105" s="90"/>
      <c r="BX105" s="90"/>
      <c r="BY105" s="90"/>
      <c r="BZ105" s="92">
        <v>1</v>
      </c>
      <c r="CA105" s="92">
        <v>0</v>
      </c>
      <c r="CB105" s="92"/>
      <c r="CC105" s="90"/>
      <c r="CD105" s="90"/>
      <c r="CE105" s="90"/>
      <c r="CF105" s="90"/>
      <c r="CH105" s="90"/>
      <c r="CI105" s="90"/>
      <c r="CJ105" s="92">
        <v>1</v>
      </c>
      <c r="CK105" s="92">
        <v>0</v>
      </c>
      <c r="CL105" s="92"/>
      <c r="CM105" s="90"/>
      <c r="CO105" s="93"/>
      <c r="CP105" s="93"/>
      <c r="CQ105" s="96">
        <v>0</v>
      </c>
      <c r="CR105" s="96">
        <v>3</v>
      </c>
      <c r="CS105" s="96"/>
      <c r="CT105" s="93"/>
    </row>
    <row r="106" spans="1:98">
      <c r="A106" s="90" t="s">
        <v>108</v>
      </c>
      <c r="B106" s="90">
        <v>4</v>
      </c>
      <c r="C106" s="92" t="s">
        <v>111</v>
      </c>
      <c r="D106" s="92" t="s">
        <v>1</v>
      </c>
      <c r="E106" s="92"/>
      <c r="F106" s="90"/>
      <c r="G106" s="90"/>
      <c r="H106" s="90"/>
      <c r="I106" s="90"/>
      <c r="J106" s="90"/>
      <c r="L106" s="90" t="s">
        <v>582</v>
      </c>
      <c r="M106" s="90">
        <v>4</v>
      </c>
      <c r="N106" s="92" t="s">
        <v>123</v>
      </c>
      <c r="O106" s="92" t="s">
        <v>5</v>
      </c>
      <c r="P106" s="92"/>
      <c r="Q106" s="90"/>
      <c r="R106" s="90"/>
      <c r="S106" s="90"/>
      <c r="U106" s="90" t="s">
        <v>592</v>
      </c>
      <c r="V106" s="90">
        <v>4</v>
      </c>
      <c r="W106" s="92" t="s">
        <v>111</v>
      </c>
      <c r="X106" s="92" t="s">
        <v>24</v>
      </c>
      <c r="Y106" s="92"/>
      <c r="Z106" s="92"/>
      <c r="AA106" s="92"/>
      <c r="AB106" s="90"/>
      <c r="AD106" s="90" t="s">
        <v>220</v>
      </c>
      <c r="AE106" s="90">
        <v>4</v>
      </c>
      <c r="AF106" s="92" t="s">
        <v>251</v>
      </c>
      <c r="AG106" s="92" t="s">
        <v>18</v>
      </c>
      <c r="AH106" s="92" t="s">
        <v>54</v>
      </c>
      <c r="AI106" s="90"/>
      <c r="AJ106" s="90"/>
      <c r="AK106" s="90"/>
      <c r="AM106" s="90"/>
      <c r="AN106" s="90">
        <v>4</v>
      </c>
      <c r="AO106" s="92" t="s">
        <v>123</v>
      </c>
      <c r="AP106" s="92" t="s">
        <v>78</v>
      </c>
      <c r="AQ106" s="92"/>
      <c r="AR106" s="90"/>
      <c r="AT106" s="90"/>
      <c r="AU106" s="90">
        <v>4</v>
      </c>
      <c r="AV106" s="92" t="s">
        <v>72</v>
      </c>
      <c r="AW106" s="92" t="s">
        <v>6</v>
      </c>
      <c r="AX106" s="92"/>
      <c r="AY106" s="90"/>
      <c r="BA106" s="90" t="s">
        <v>276</v>
      </c>
      <c r="BB106" s="90">
        <v>4</v>
      </c>
      <c r="BC106" s="92" t="s">
        <v>151</v>
      </c>
      <c r="BD106" s="92" t="s">
        <v>43</v>
      </c>
      <c r="BE106" s="92"/>
      <c r="BF106" s="92"/>
      <c r="BH106" s="90" t="s">
        <v>578</v>
      </c>
      <c r="BI106" s="90">
        <v>4</v>
      </c>
      <c r="BJ106" s="92" t="s">
        <v>290</v>
      </c>
      <c r="BK106" s="92" t="s">
        <v>557</v>
      </c>
      <c r="BL106" s="92" t="s">
        <v>78</v>
      </c>
      <c r="BM106" s="92"/>
      <c r="BN106" s="92"/>
      <c r="BO106" s="90"/>
      <c r="BQ106" s="90"/>
      <c r="BR106" s="90">
        <v>4</v>
      </c>
      <c r="BS106" s="92" t="s">
        <v>587</v>
      </c>
      <c r="BT106" s="92" t="s">
        <v>533</v>
      </c>
      <c r="BU106" s="92"/>
      <c r="BV106" s="90"/>
      <c r="BX106" s="90"/>
      <c r="BY106" s="90">
        <v>4</v>
      </c>
      <c r="BZ106" s="92" t="s">
        <v>290</v>
      </c>
      <c r="CA106" s="92" t="s">
        <v>586</v>
      </c>
      <c r="CB106" s="92"/>
      <c r="CC106" s="90"/>
      <c r="CD106" s="90"/>
      <c r="CE106" s="90"/>
      <c r="CF106" s="90"/>
      <c r="CH106" s="90"/>
      <c r="CI106" s="90">
        <v>4</v>
      </c>
      <c r="CJ106" s="92" t="s">
        <v>586</v>
      </c>
      <c r="CK106" s="92" t="s">
        <v>681</v>
      </c>
      <c r="CL106" s="92"/>
      <c r="CM106" s="90"/>
      <c r="CO106" s="93" t="s">
        <v>556</v>
      </c>
      <c r="CP106" s="93">
        <v>4</v>
      </c>
      <c r="CQ106" s="96" t="s">
        <v>78</v>
      </c>
      <c r="CR106" s="96" t="s">
        <v>8</v>
      </c>
      <c r="CS106" s="96" t="s">
        <v>5</v>
      </c>
      <c r="CT106" s="96" t="s">
        <v>111</v>
      </c>
    </row>
    <row r="107" spans="1:98">
      <c r="A107" s="90"/>
      <c r="B107" s="90"/>
      <c r="C107" s="92">
        <v>1</v>
      </c>
      <c r="D107" s="92">
        <v>0</v>
      </c>
      <c r="E107" s="92"/>
      <c r="F107" s="90"/>
      <c r="G107" s="90"/>
      <c r="H107" s="90"/>
      <c r="I107" s="90"/>
      <c r="J107" s="90"/>
      <c r="L107" s="90"/>
      <c r="M107" s="90"/>
      <c r="N107" s="92">
        <v>2</v>
      </c>
      <c r="O107" s="92">
        <v>0</v>
      </c>
      <c r="P107" s="92"/>
      <c r="Q107" s="90"/>
      <c r="R107" s="90"/>
      <c r="S107" s="90"/>
      <c r="U107" s="90"/>
      <c r="V107" s="90"/>
      <c r="W107" s="92">
        <v>1</v>
      </c>
      <c r="X107" s="92">
        <v>0</v>
      </c>
      <c r="Y107" s="92"/>
      <c r="Z107" s="92"/>
      <c r="AA107" s="92"/>
      <c r="AB107" s="90"/>
      <c r="AD107" s="90"/>
      <c r="AE107" s="90"/>
      <c r="AF107" s="92">
        <v>2</v>
      </c>
      <c r="AG107" s="92">
        <v>0</v>
      </c>
      <c r="AH107" s="92">
        <v>0</v>
      </c>
      <c r="AI107" s="90"/>
      <c r="AJ107" s="90"/>
      <c r="AK107" s="90"/>
      <c r="AM107" s="90"/>
      <c r="AN107" s="90"/>
      <c r="AO107" s="92">
        <v>1</v>
      </c>
      <c r="AP107" s="92">
        <v>0</v>
      </c>
      <c r="AQ107" s="92"/>
      <c r="AR107" s="90"/>
      <c r="AT107" s="90"/>
      <c r="AU107" s="90"/>
      <c r="AV107" s="92">
        <v>3</v>
      </c>
      <c r="AW107" s="92">
        <v>0</v>
      </c>
      <c r="AX107" s="92"/>
      <c r="AY107" s="90"/>
      <c r="BA107" s="90"/>
      <c r="BB107" s="90"/>
      <c r="BC107" s="92">
        <v>2</v>
      </c>
      <c r="BD107" s="92">
        <v>0</v>
      </c>
      <c r="BE107" s="92"/>
      <c r="BF107" s="92"/>
      <c r="BH107" s="90"/>
      <c r="BI107" s="90"/>
      <c r="BJ107" s="92">
        <v>0</v>
      </c>
      <c r="BK107" s="92">
        <v>1</v>
      </c>
      <c r="BL107" s="92">
        <v>-1</v>
      </c>
      <c r="BM107" s="92"/>
      <c r="BN107" s="92"/>
      <c r="BO107" s="90"/>
      <c r="BQ107" s="90"/>
      <c r="BR107" s="90"/>
      <c r="BS107" s="92">
        <v>3</v>
      </c>
      <c r="BT107" s="92">
        <v>0</v>
      </c>
      <c r="BU107" s="92"/>
      <c r="BV107" s="90"/>
      <c r="BX107" s="90"/>
      <c r="BY107" s="90"/>
      <c r="BZ107" s="92">
        <v>0</v>
      </c>
      <c r="CA107" s="92">
        <v>1</v>
      </c>
      <c r="CB107" s="92"/>
      <c r="CC107" s="90"/>
      <c r="CD107" s="90"/>
      <c r="CE107" s="90"/>
      <c r="CF107" s="90"/>
      <c r="CH107" s="90"/>
      <c r="CI107" s="90"/>
      <c r="CJ107" s="92">
        <v>1</v>
      </c>
      <c r="CK107" s="92">
        <v>0</v>
      </c>
      <c r="CL107" s="92"/>
      <c r="CM107" s="90"/>
      <c r="CO107" s="93" t="s">
        <v>687</v>
      </c>
      <c r="CP107" s="93"/>
      <c r="CQ107" s="96">
        <v>1</v>
      </c>
      <c r="CR107" s="96">
        <v>-2</v>
      </c>
      <c r="CS107" s="96">
        <v>0</v>
      </c>
      <c r="CT107" s="96">
        <v>1</v>
      </c>
    </row>
    <row r="108" spans="1:98">
      <c r="A108" s="90" t="s">
        <v>555</v>
      </c>
      <c r="B108" s="90">
        <v>5</v>
      </c>
      <c r="C108" s="92" t="s">
        <v>151</v>
      </c>
      <c r="D108" s="92" t="s">
        <v>5</v>
      </c>
      <c r="E108" s="92"/>
      <c r="F108" s="90"/>
      <c r="G108" s="90"/>
      <c r="H108" s="90"/>
      <c r="I108" s="90"/>
      <c r="J108" s="90"/>
      <c r="L108" s="90" t="s">
        <v>581</v>
      </c>
      <c r="M108" s="90">
        <v>5</v>
      </c>
      <c r="N108" s="92" t="s">
        <v>61</v>
      </c>
      <c r="O108" s="92" t="s">
        <v>111</v>
      </c>
      <c r="P108" s="92"/>
      <c r="Q108" s="90"/>
      <c r="R108" s="90"/>
      <c r="S108" s="90"/>
      <c r="U108" s="90" t="s">
        <v>581</v>
      </c>
      <c r="V108" s="90">
        <v>5</v>
      </c>
      <c r="W108" s="92" t="s">
        <v>263</v>
      </c>
      <c r="X108" s="92" t="s">
        <v>39</v>
      </c>
      <c r="Y108" s="92"/>
      <c r="Z108" s="92"/>
      <c r="AA108" s="92"/>
      <c r="AB108" s="90"/>
      <c r="AD108" s="90" t="s">
        <v>592</v>
      </c>
      <c r="AE108" s="90">
        <v>5</v>
      </c>
      <c r="AF108" s="92" t="s">
        <v>533</v>
      </c>
      <c r="AG108" s="92" t="s">
        <v>584</v>
      </c>
      <c r="AH108" s="92"/>
      <c r="AI108" s="90"/>
      <c r="AJ108" s="90"/>
      <c r="AK108" s="90"/>
      <c r="AM108" s="90" t="s">
        <v>556</v>
      </c>
      <c r="AN108" s="90">
        <v>5</v>
      </c>
      <c r="AO108" s="92" t="s">
        <v>1</v>
      </c>
      <c r="AP108" s="92" t="s">
        <v>54</v>
      </c>
      <c r="AQ108" s="92" t="s">
        <v>566</v>
      </c>
      <c r="AR108" s="90"/>
      <c r="AT108" s="90" t="s">
        <v>581</v>
      </c>
      <c r="AU108" s="90">
        <v>5</v>
      </c>
      <c r="AV108" s="92" t="s">
        <v>43</v>
      </c>
      <c r="AW108" s="92" t="s">
        <v>123</v>
      </c>
      <c r="AX108" s="92"/>
      <c r="AY108" s="90"/>
      <c r="BA108" s="90" t="s">
        <v>644</v>
      </c>
      <c r="BB108" s="90">
        <v>5</v>
      </c>
      <c r="BC108" s="92" t="s">
        <v>60</v>
      </c>
      <c r="BD108" s="92" t="s">
        <v>141</v>
      </c>
      <c r="BE108" s="92"/>
      <c r="BF108" s="92"/>
      <c r="BH108" s="90" t="s">
        <v>657</v>
      </c>
      <c r="BI108" s="90">
        <v>5</v>
      </c>
      <c r="BJ108" s="92" t="s">
        <v>587</v>
      </c>
      <c r="BK108" s="92" t="s">
        <v>63</v>
      </c>
      <c r="BL108" s="92"/>
      <c r="BM108" s="92"/>
      <c r="BN108" s="92"/>
      <c r="BO108" s="90"/>
      <c r="BQ108" s="90" t="s">
        <v>592</v>
      </c>
      <c r="BR108" s="90">
        <v>5</v>
      </c>
      <c r="BS108" s="92" t="s">
        <v>586</v>
      </c>
      <c r="BT108" s="92" t="s">
        <v>12</v>
      </c>
      <c r="BU108" s="92"/>
      <c r="BV108" s="90"/>
      <c r="BX108" s="90" t="s">
        <v>670</v>
      </c>
      <c r="BY108" s="90">
        <v>5</v>
      </c>
      <c r="BZ108" s="92" t="s">
        <v>151</v>
      </c>
      <c r="CA108" s="92" t="s">
        <v>78</v>
      </c>
      <c r="CB108" s="92"/>
      <c r="CC108" s="90"/>
      <c r="CD108" s="90"/>
      <c r="CE108" s="90"/>
      <c r="CF108" s="90"/>
      <c r="CH108" s="90" t="s">
        <v>556</v>
      </c>
      <c r="CI108" s="90">
        <v>5</v>
      </c>
      <c r="CJ108" s="92" t="s">
        <v>43</v>
      </c>
      <c r="CK108" s="92" t="s">
        <v>551</v>
      </c>
      <c r="CL108" s="92"/>
      <c r="CM108" s="90"/>
      <c r="CO108" s="93" t="s">
        <v>657</v>
      </c>
      <c r="CP108" s="93">
        <v>5</v>
      </c>
      <c r="CQ108" s="96" t="s">
        <v>138</v>
      </c>
      <c r="CR108" s="96" t="s">
        <v>53</v>
      </c>
      <c r="CS108" s="96"/>
      <c r="CT108" s="93"/>
    </row>
    <row r="109" spans="1:98">
      <c r="A109" s="90"/>
      <c r="B109" s="90"/>
      <c r="C109" s="92">
        <v>2</v>
      </c>
      <c r="D109" s="92">
        <v>0</v>
      </c>
      <c r="E109" s="92"/>
      <c r="F109" s="90"/>
      <c r="G109" s="90"/>
      <c r="H109" s="90"/>
      <c r="I109" s="90"/>
      <c r="J109" s="90"/>
      <c r="L109" s="90"/>
      <c r="M109" s="90"/>
      <c r="N109" s="92">
        <v>0</v>
      </c>
      <c r="O109" s="92">
        <v>1</v>
      </c>
      <c r="P109" s="92"/>
      <c r="Q109" s="90"/>
      <c r="R109" s="90"/>
      <c r="S109" s="90"/>
      <c r="U109" s="90"/>
      <c r="V109" s="90"/>
      <c r="W109" s="92">
        <v>1</v>
      </c>
      <c r="X109" s="92">
        <v>0</v>
      </c>
      <c r="Y109" s="92"/>
      <c r="Z109" s="92"/>
      <c r="AA109" s="92"/>
      <c r="AB109" s="90"/>
      <c r="AD109" s="90"/>
      <c r="AE109" s="90"/>
      <c r="AF109" s="92">
        <v>0</v>
      </c>
      <c r="AG109" s="92">
        <v>1</v>
      </c>
      <c r="AH109" s="92"/>
      <c r="AI109" s="90"/>
      <c r="AJ109" s="90"/>
      <c r="AK109" s="90"/>
      <c r="AM109" s="90"/>
      <c r="AN109" s="90"/>
      <c r="AO109" s="92">
        <v>-1</v>
      </c>
      <c r="AP109" s="92">
        <v>-1</v>
      </c>
      <c r="AQ109" s="92">
        <v>2</v>
      </c>
      <c r="AR109" s="90"/>
      <c r="AT109" s="90"/>
      <c r="AU109" s="90"/>
      <c r="AV109" s="92">
        <v>0</v>
      </c>
      <c r="AW109" s="92">
        <v>3</v>
      </c>
      <c r="AX109" s="92"/>
      <c r="AY109" s="90"/>
      <c r="BA109" s="90"/>
      <c r="BB109" s="90"/>
      <c r="BC109" s="92">
        <v>0</v>
      </c>
      <c r="BD109" s="92">
        <v>1</v>
      </c>
      <c r="BE109" s="92"/>
      <c r="BF109" s="92"/>
      <c r="BH109" s="90" t="s">
        <v>880</v>
      </c>
      <c r="BI109" s="90"/>
      <c r="BJ109" s="92">
        <v>3</v>
      </c>
      <c r="BK109" s="92">
        <v>0</v>
      </c>
      <c r="BL109" s="92"/>
      <c r="BM109" s="92"/>
      <c r="BN109" s="92"/>
      <c r="BO109" s="90"/>
      <c r="BQ109" s="90"/>
      <c r="BR109" s="90"/>
      <c r="BS109" s="92">
        <v>2</v>
      </c>
      <c r="BT109" s="92">
        <v>-2</v>
      </c>
      <c r="BU109" s="92"/>
      <c r="BV109" s="90"/>
      <c r="BX109" s="90"/>
      <c r="BY109" s="90"/>
      <c r="BZ109" s="92">
        <v>2</v>
      </c>
      <c r="CA109" s="92">
        <v>0</v>
      </c>
      <c r="CB109" s="92"/>
      <c r="CC109" s="90"/>
      <c r="CD109" s="90"/>
      <c r="CE109" s="90"/>
      <c r="CF109" s="90"/>
      <c r="CH109" s="90"/>
      <c r="CI109" s="90"/>
      <c r="CJ109" s="92">
        <v>-2</v>
      </c>
      <c r="CK109" s="92">
        <v>2</v>
      </c>
      <c r="CL109" s="92"/>
      <c r="CM109" s="90"/>
      <c r="CO109" s="93"/>
      <c r="CP109" s="93"/>
      <c r="CQ109" s="96">
        <v>2</v>
      </c>
      <c r="CR109" s="96">
        <v>0</v>
      </c>
      <c r="CS109" s="96"/>
      <c r="CT109" s="93"/>
    </row>
    <row r="110" spans="1:98">
      <c r="CO110" s="32"/>
      <c r="CP110" s="32"/>
      <c r="CQ110" s="32"/>
      <c r="CR110" s="32"/>
      <c r="CS110" s="32"/>
      <c r="CT110" s="32"/>
    </row>
    <row r="111" spans="1:98" ht="21">
      <c r="A111" s="18"/>
      <c r="B111" s="20" t="s">
        <v>99</v>
      </c>
      <c r="C111" s="85" t="s">
        <v>449</v>
      </c>
      <c r="D111" s="19"/>
      <c r="E111" s="18"/>
      <c r="F111" s="18"/>
      <c r="G111" s="18"/>
      <c r="H111" s="18"/>
      <c r="I111" s="18"/>
      <c r="J111" s="18"/>
      <c r="L111" s="18"/>
      <c r="M111" s="20" t="s">
        <v>430</v>
      </c>
      <c r="N111" s="29" t="s">
        <v>259</v>
      </c>
      <c r="O111" s="19"/>
      <c r="P111" s="18"/>
      <c r="Q111" s="18"/>
      <c r="R111" s="18"/>
      <c r="S111" s="18"/>
      <c r="U111" s="18"/>
      <c r="V111" s="20" t="s">
        <v>431</v>
      </c>
      <c r="W111" s="85" t="s">
        <v>447</v>
      </c>
      <c r="X111" s="19"/>
      <c r="Y111" s="18"/>
      <c r="Z111" s="18"/>
      <c r="AA111" s="18"/>
      <c r="AB111" s="18"/>
      <c r="AD111" s="18"/>
      <c r="AE111" s="20" t="s">
        <v>432</v>
      </c>
      <c r="AF111" s="85" t="s">
        <v>450</v>
      </c>
      <c r="AG111" s="19"/>
      <c r="AH111" s="18"/>
      <c r="AI111" s="18"/>
      <c r="AJ111" s="18"/>
      <c r="AK111" s="18"/>
      <c r="AM111" s="18"/>
      <c r="AN111" s="20" t="s">
        <v>231</v>
      </c>
      <c r="AO111" s="85" t="s">
        <v>232</v>
      </c>
      <c r="AP111" s="19"/>
      <c r="AQ111" s="18"/>
      <c r="AR111" s="18"/>
      <c r="AT111" s="18"/>
      <c r="AU111" s="20" t="s">
        <v>252</v>
      </c>
      <c r="AV111" s="85" t="s">
        <v>119</v>
      </c>
      <c r="AW111" s="19"/>
      <c r="AX111" s="18"/>
      <c r="AY111" s="18"/>
      <c r="BA111" s="18"/>
      <c r="BB111" s="20" t="s">
        <v>435</v>
      </c>
      <c r="BC111" s="29" t="s">
        <v>74</v>
      </c>
      <c r="BD111" s="19"/>
      <c r="BE111" s="19"/>
      <c r="BF111" s="19"/>
      <c r="BH111" s="18"/>
      <c r="BI111" s="20" t="s">
        <v>436</v>
      </c>
      <c r="BJ111" s="85" t="s">
        <v>179</v>
      </c>
      <c r="BK111" s="19"/>
      <c r="BL111" s="18"/>
      <c r="BM111" s="18"/>
      <c r="BN111" s="18"/>
      <c r="BO111" s="18"/>
      <c r="BQ111" s="18"/>
      <c r="BR111" s="20" t="s">
        <v>448</v>
      </c>
      <c r="BS111" s="85" t="s">
        <v>213</v>
      </c>
      <c r="BT111" s="19"/>
      <c r="BU111" s="18"/>
      <c r="BV111" s="18"/>
      <c r="BX111" s="18"/>
      <c r="BY111" s="20" t="s">
        <v>437</v>
      </c>
      <c r="BZ111" s="29" t="s">
        <v>673</v>
      </c>
      <c r="CA111" s="19"/>
      <c r="CB111" s="18"/>
      <c r="CC111" s="18"/>
      <c r="CD111" s="18"/>
      <c r="CE111" s="18"/>
      <c r="CF111" s="18"/>
      <c r="CH111" s="18"/>
      <c r="CI111" s="20" t="s">
        <v>439</v>
      </c>
      <c r="CJ111" s="85" t="s">
        <v>250</v>
      </c>
      <c r="CK111" s="19" t="s">
        <v>679</v>
      </c>
      <c r="CL111" s="18"/>
      <c r="CM111" s="18"/>
      <c r="CO111" s="42"/>
      <c r="CP111" s="43" t="s">
        <v>346</v>
      </c>
      <c r="CQ111" s="102" t="s">
        <v>451</v>
      </c>
      <c r="CR111" s="45"/>
      <c r="CS111" s="45"/>
      <c r="CT111" s="45"/>
    </row>
    <row r="112" spans="1:98">
      <c r="A112" s="18" t="s">
        <v>129</v>
      </c>
      <c r="B112" s="18">
        <v>1</v>
      </c>
      <c r="C112" s="19" t="s">
        <v>203</v>
      </c>
      <c r="D112" s="19" t="s">
        <v>50</v>
      </c>
      <c r="E112" s="19"/>
      <c r="F112" s="18"/>
      <c r="G112" s="18"/>
      <c r="H112" s="18"/>
      <c r="I112" s="18"/>
      <c r="J112" s="18"/>
      <c r="L112" s="18" t="s">
        <v>132</v>
      </c>
      <c r="M112" s="18">
        <v>1</v>
      </c>
      <c r="N112" s="19" t="s">
        <v>70</v>
      </c>
      <c r="O112" s="19" t="s">
        <v>50</v>
      </c>
      <c r="P112" s="19"/>
      <c r="Q112" s="18"/>
      <c r="R112" s="18"/>
      <c r="S112" s="18"/>
      <c r="U112" s="18" t="s">
        <v>565</v>
      </c>
      <c r="V112" s="18">
        <v>1</v>
      </c>
      <c r="W112" s="19" t="s">
        <v>43</v>
      </c>
      <c r="X112" s="19" t="s">
        <v>111</v>
      </c>
      <c r="Y112" s="19"/>
      <c r="Z112" s="19"/>
      <c r="AA112" s="19"/>
      <c r="AB112" s="19"/>
      <c r="AD112" s="18" t="s">
        <v>132</v>
      </c>
      <c r="AE112" s="18">
        <v>1</v>
      </c>
      <c r="AF112" s="19" t="s">
        <v>47</v>
      </c>
      <c r="AG112" s="19" t="s">
        <v>588</v>
      </c>
      <c r="AH112" s="19"/>
      <c r="AI112" s="18"/>
      <c r="AJ112" s="18"/>
      <c r="AK112" s="18"/>
      <c r="AM112" s="18" t="s">
        <v>130</v>
      </c>
      <c r="AN112" s="18">
        <v>1</v>
      </c>
      <c r="AO112" s="19" t="s">
        <v>156</v>
      </c>
      <c r="AP112" s="19" t="s">
        <v>38</v>
      </c>
      <c r="AQ112" s="19"/>
      <c r="AR112" s="18"/>
      <c r="AT112" s="18" t="s">
        <v>565</v>
      </c>
      <c r="AU112" s="18">
        <v>1</v>
      </c>
      <c r="AV112" s="19" t="s">
        <v>111</v>
      </c>
      <c r="AW112" s="19" t="s">
        <v>8</v>
      </c>
      <c r="AX112" s="19"/>
      <c r="AY112" s="18"/>
      <c r="BA112" s="18" t="s">
        <v>279</v>
      </c>
      <c r="BB112" s="18">
        <v>1</v>
      </c>
      <c r="BC112" s="19" t="s">
        <v>853</v>
      </c>
      <c r="BD112" s="19" t="s">
        <v>23</v>
      </c>
      <c r="BE112" s="19"/>
      <c r="BF112" s="19" t="s">
        <v>243</v>
      </c>
      <c r="BH112" s="18" t="s">
        <v>128</v>
      </c>
      <c r="BI112" s="18">
        <v>1</v>
      </c>
      <c r="BJ112" s="19" t="s">
        <v>117</v>
      </c>
      <c r="BK112" s="19" t="s">
        <v>38</v>
      </c>
      <c r="BL112" s="19" t="s">
        <v>84</v>
      </c>
      <c r="BM112" s="19"/>
      <c r="BN112" s="19"/>
      <c r="BO112" s="19"/>
      <c r="BQ112" s="18" t="s">
        <v>565</v>
      </c>
      <c r="BR112" s="18">
        <v>1</v>
      </c>
      <c r="BS112" s="19" t="s">
        <v>111</v>
      </c>
      <c r="BT112" s="19" t="s">
        <v>6</v>
      </c>
      <c r="BU112" s="19"/>
      <c r="BV112" s="18"/>
      <c r="BX112" s="18" t="s">
        <v>563</v>
      </c>
      <c r="BY112" s="18">
        <v>1</v>
      </c>
      <c r="BZ112" s="19" t="s">
        <v>574</v>
      </c>
      <c r="CA112" s="19" t="s">
        <v>78</v>
      </c>
      <c r="CB112" s="19"/>
      <c r="CC112" s="18"/>
      <c r="CD112" s="18"/>
      <c r="CE112" s="18"/>
      <c r="CF112" s="18"/>
      <c r="CH112" s="18" t="s">
        <v>129</v>
      </c>
      <c r="CI112" s="18">
        <v>1</v>
      </c>
      <c r="CJ112" s="19" t="s">
        <v>75</v>
      </c>
      <c r="CK112" s="19" t="s">
        <v>39</v>
      </c>
      <c r="CL112" s="19"/>
      <c r="CM112" s="18"/>
      <c r="CO112" s="42" t="s">
        <v>565</v>
      </c>
      <c r="CP112" s="89">
        <v>1</v>
      </c>
      <c r="CQ112" s="45" t="s">
        <v>7</v>
      </c>
      <c r="CR112" s="45" t="s">
        <v>111</v>
      </c>
      <c r="CS112" s="45"/>
      <c r="CT112" s="45"/>
    </row>
    <row r="113" spans="1:98" ht="20.65">
      <c r="A113" s="18" t="s">
        <v>562</v>
      </c>
      <c r="B113" s="18"/>
      <c r="C113" s="19">
        <v>1</v>
      </c>
      <c r="D113" s="19">
        <v>0</v>
      </c>
      <c r="E113" s="19"/>
      <c r="F113" s="18"/>
      <c r="G113" s="18"/>
      <c r="H113" s="18"/>
      <c r="I113" s="18"/>
      <c r="J113" s="18"/>
      <c r="L113" s="18"/>
      <c r="M113" s="18"/>
      <c r="N113" s="19">
        <v>1</v>
      </c>
      <c r="O113" s="19">
        <v>0</v>
      </c>
      <c r="P113" s="19"/>
      <c r="Q113" s="18"/>
      <c r="R113" s="18"/>
      <c r="S113" s="18"/>
      <c r="U113" s="18" t="s">
        <v>599</v>
      </c>
      <c r="V113" s="18"/>
      <c r="W113" s="19">
        <v>0</v>
      </c>
      <c r="X113" s="19">
        <v>0</v>
      </c>
      <c r="Y113" s="19"/>
      <c r="Z113" s="19"/>
      <c r="AA113" s="19"/>
      <c r="AB113" s="19"/>
      <c r="AD113" s="18"/>
      <c r="AE113" s="18"/>
      <c r="AF113" s="19">
        <v>0</v>
      </c>
      <c r="AG113" s="19">
        <v>1</v>
      </c>
      <c r="AH113" s="19"/>
      <c r="AI113" s="18"/>
      <c r="AJ113" s="18"/>
      <c r="AK113" s="18"/>
      <c r="AM113" s="18" t="s">
        <v>612</v>
      </c>
      <c r="AN113" s="18"/>
      <c r="AO113" s="19">
        <v>1</v>
      </c>
      <c r="AP113" s="19">
        <v>0</v>
      </c>
      <c r="AQ113" s="19"/>
      <c r="AR113" s="18"/>
      <c r="AT113" s="18"/>
      <c r="AU113" s="18"/>
      <c r="AV113" s="19">
        <v>4</v>
      </c>
      <c r="AW113" s="19">
        <v>-4</v>
      </c>
      <c r="AX113" s="19"/>
      <c r="AY113" s="18"/>
      <c r="BA113" s="18"/>
      <c r="BB113" s="18"/>
      <c r="BC113" s="19">
        <v>1</v>
      </c>
      <c r="BD113" s="19">
        <v>0</v>
      </c>
      <c r="BE113" s="19"/>
      <c r="BF113" s="19"/>
      <c r="BH113" s="18" t="s">
        <v>661</v>
      </c>
      <c r="BI113" s="18"/>
      <c r="BJ113" s="19">
        <v>1</v>
      </c>
      <c r="BK113" s="19">
        <v>1</v>
      </c>
      <c r="BL113" s="19">
        <v>-2</v>
      </c>
      <c r="BM113" s="19"/>
      <c r="BN113" s="19"/>
      <c r="BO113" s="19"/>
      <c r="BQ113" s="18"/>
      <c r="BR113" s="18"/>
      <c r="BS113" s="19">
        <v>1</v>
      </c>
      <c r="BT113" s="19">
        <v>-1</v>
      </c>
      <c r="BU113" s="19"/>
      <c r="BV113" s="18"/>
      <c r="BX113" s="18"/>
      <c r="BY113" s="18"/>
      <c r="BZ113" s="19">
        <v>2</v>
      </c>
      <c r="CA113" s="19">
        <v>0</v>
      </c>
      <c r="CB113" s="19"/>
      <c r="CC113" s="18"/>
      <c r="CD113" s="18"/>
      <c r="CE113" s="18"/>
      <c r="CF113" s="18"/>
      <c r="CH113" s="18" t="s">
        <v>562</v>
      </c>
      <c r="CI113" s="18"/>
      <c r="CJ113" s="19">
        <v>3</v>
      </c>
      <c r="CK113" s="19">
        <v>0</v>
      </c>
      <c r="CL113" s="19"/>
      <c r="CM113" s="18"/>
      <c r="CO113" s="42"/>
      <c r="CP113" s="88"/>
      <c r="CQ113" s="45">
        <v>-1</v>
      </c>
      <c r="CR113" s="45">
        <v>1</v>
      </c>
      <c r="CS113" s="45"/>
      <c r="CT113" s="45"/>
    </row>
    <row r="114" spans="1:98">
      <c r="A114" s="18" t="s">
        <v>130</v>
      </c>
      <c r="B114" s="18">
        <v>2</v>
      </c>
      <c r="C114" s="19" t="s">
        <v>156</v>
      </c>
      <c r="D114" s="19" t="s">
        <v>76</v>
      </c>
      <c r="E114" s="19"/>
      <c r="F114" s="19"/>
      <c r="G114" s="19"/>
      <c r="H114" s="19"/>
      <c r="I114" s="19"/>
      <c r="J114" s="19"/>
      <c r="L114" s="18" t="s">
        <v>563</v>
      </c>
      <c r="M114" s="18">
        <v>2</v>
      </c>
      <c r="N114" s="19" t="s">
        <v>39</v>
      </c>
      <c r="O114" s="19" t="s">
        <v>123</v>
      </c>
      <c r="P114" s="19"/>
      <c r="Q114" s="19"/>
      <c r="R114" s="19"/>
      <c r="S114" s="19"/>
      <c r="U114" s="18" t="s">
        <v>130</v>
      </c>
      <c r="V114" s="18">
        <v>2</v>
      </c>
      <c r="W114" s="19" t="s">
        <v>156</v>
      </c>
      <c r="X114" s="19" t="s">
        <v>16</v>
      </c>
      <c r="Y114" s="19"/>
      <c r="Z114" s="19"/>
      <c r="AA114" s="19"/>
      <c r="AB114" s="19"/>
      <c r="AD114" s="18" t="s">
        <v>128</v>
      </c>
      <c r="AE114" s="18">
        <v>2</v>
      </c>
      <c r="AF114" s="19" t="s">
        <v>117</v>
      </c>
      <c r="AG114" s="19" t="s">
        <v>12</v>
      </c>
      <c r="AH114" s="19"/>
      <c r="AI114" s="19"/>
      <c r="AJ114" s="19"/>
      <c r="AK114" s="19"/>
      <c r="AM114" s="18" t="s">
        <v>565</v>
      </c>
      <c r="AN114" s="18">
        <v>2</v>
      </c>
      <c r="AO114" s="19" t="s">
        <v>111</v>
      </c>
      <c r="AP114" s="19" t="s">
        <v>11</v>
      </c>
      <c r="AQ114" s="19"/>
      <c r="AR114" s="19"/>
      <c r="AT114" s="18" t="s">
        <v>132</v>
      </c>
      <c r="AU114" s="18">
        <v>2</v>
      </c>
      <c r="AV114" s="19" t="s">
        <v>588</v>
      </c>
      <c r="AW114" s="19" t="s">
        <v>55</v>
      </c>
      <c r="AX114" s="19"/>
      <c r="AY114" s="19"/>
      <c r="BA114" s="18" t="s">
        <v>280</v>
      </c>
      <c r="BB114" s="18">
        <v>2</v>
      </c>
      <c r="BC114" s="19" t="s">
        <v>568</v>
      </c>
      <c r="BD114" s="19" t="s">
        <v>14</v>
      </c>
      <c r="BE114" s="19"/>
      <c r="BF114" s="19"/>
      <c r="BH114" s="18" t="s">
        <v>563</v>
      </c>
      <c r="BI114" s="18">
        <v>2</v>
      </c>
      <c r="BJ114" s="19" t="s">
        <v>7</v>
      </c>
      <c r="BK114" s="19" t="s">
        <v>574</v>
      </c>
      <c r="BL114" s="19" t="s">
        <v>6</v>
      </c>
      <c r="BM114" s="19"/>
      <c r="BN114" s="19"/>
      <c r="BO114" s="19"/>
      <c r="BQ114" s="18" t="s">
        <v>130</v>
      </c>
      <c r="BR114" s="18">
        <v>2</v>
      </c>
      <c r="BS114" s="19" t="s">
        <v>558</v>
      </c>
      <c r="BT114" s="19" t="s">
        <v>20</v>
      </c>
      <c r="BU114" s="19"/>
      <c r="BV114" s="19"/>
      <c r="BX114" s="18" t="s">
        <v>128</v>
      </c>
      <c r="BY114" s="18">
        <v>2</v>
      </c>
      <c r="BZ114" s="19" t="s">
        <v>117</v>
      </c>
      <c r="CA114" s="19" t="s">
        <v>38</v>
      </c>
      <c r="CB114" s="19"/>
      <c r="CC114" s="19"/>
      <c r="CD114" s="19"/>
      <c r="CE114" s="19"/>
      <c r="CF114" s="19"/>
      <c r="CH114" s="18" t="s">
        <v>563</v>
      </c>
      <c r="CI114" s="18">
        <v>2</v>
      </c>
      <c r="CJ114" s="19" t="s">
        <v>574</v>
      </c>
      <c r="CK114" s="19" t="s">
        <v>11</v>
      </c>
      <c r="CL114" s="19"/>
      <c r="CM114" s="19"/>
      <c r="CO114" s="42" t="s">
        <v>130</v>
      </c>
      <c r="CP114" s="89">
        <v>2</v>
      </c>
      <c r="CQ114" s="45" t="s">
        <v>14</v>
      </c>
      <c r="CR114" s="45" t="s">
        <v>92</v>
      </c>
      <c r="CS114" s="45"/>
      <c r="CT114" s="45"/>
    </row>
    <row r="115" spans="1:98" ht="20.65">
      <c r="A115" s="18"/>
      <c r="B115" s="18"/>
      <c r="C115" s="19">
        <v>1</v>
      </c>
      <c r="D115" s="19">
        <v>0</v>
      </c>
      <c r="E115" s="19"/>
      <c r="F115" s="19"/>
      <c r="G115" s="19"/>
      <c r="H115" s="19"/>
      <c r="I115" s="19"/>
      <c r="J115" s="19"/>
      <c r="L115" s="18"/>
      <c r="M115" s="18"/>
      <c r="N115" s="19">
        <v>0</v>
      </c>
      <c r="O115" s="19">
        <v>2</v>
      </c>
      <c r="P115" s="19"/>
      <c r="Q115" s="19"/>
      <c r="R115" s="19"/>
      <c r="S115" s="19"/>
      <c r="U115" s="18"/>
      <c r="V115" s="18"/>
      <c r="W115" s="19">
        <v>2</v>
      </c>
      <c r="X115" s="19">
        <v>0</v>
      </c>
      <c r="Y115" s="19"/>
      <c r="Z115" s="19"/>
      <c r="AA115" s="19"/>
      <c r="AB115" s="19"/>
      <c r="AD115" s="18"/>
      <c r="AE115" s="18"/>
      <c r="AF115" s="19">
        <v>2</v>
      </c>
      <c r="AG115" s="19">
        <v>-2</v>
      </c>
      <c r="AH115" s="19"/>
      <c r="AI115" s="19"/>
      <c r="AJ115" s="19"/>
      <c r="AK115" s="19"/>
      <c r="AM115" s="18"/>
      <c r="AN115" s="18"/>
      <c r="AO115" s="19">
        <v>1</v>
      </c>
      <c r="AP115" s="19">
        <v>-1</v>
      </c>
      <c r="AQ115" s="19"/>
      <c r="AR115" s="19"/>
      <c r="AT115" s="18"/>
      <c r="AU115" s="18"/>
      <c r="AV115" s="19">
        <v>3</v>
      </c>
      <c r="AW115" s="19">
        <v>0</v>
      </c>
      <c r="AX115" s="19"/>
      <c r="AY115" s="19"/>
      <c r="BA115" s="18"/>
      <c r="BB115" s="18"/>
      <c r="BC115" s="19">
        <v>1</v>
      </c>
      <c r="BD115" s="19">
        <v>0</v>
      </c>
      <c r="BE115" s="19"/>
      <c r="BF115" s="19"/>
      <c r="BH115" s="18"/>
      <c r="BI115" s="18"/>
      <c r="BJ115" s="19">
        <v>0</v>
      </c>
      <c r="BK115" s="19">
        <v>1</v>
      </c>
      <c r="BL115" s="19">
        <v>0</v>
      </c>
      <c r="BM115" s="19"/>
      <c r="BN115" s="19"/>
      <c r="BO115" s="19"/>
      <c r="BQ115" s="18"/>
      <c r="BR115" s="18"/>
      <c r="BS115" s="19">
        <v>1</v>
      </c>
      <c r="BT115" s="19">
        <v>0</v>
      </c>
      <c r="BU115" s="19"/>
      <c r="BV115" s="19"/>
      <c r="BX115" s="18"/>
      <c r="BY115" s="18"/>
      <c r="BZ115" s="19">
        <v>2</v>
      </c>
      <c r="CA115" s="19">
        <v>-2</v>
      </c>
      <c r="CB115" s="19"/>
      <c r="CC115" s="19"/>
      <c r="CD115" s="19"/>
      <c r="CE115" s="19"/>
      <c r="CF115" s="19"/>
      <c r="CH115" s="18"/>
      <c r="CI115" s="18"/>
      <c r="CJ115" s="19">
        <v>1</v>
      </c>
      <c r="CK115" s="19">
        <v>0</v>
      </c>
      <c r="CL115" s="19"/>
      <c r="CM115" s="19"/>
      <c r="CO115" s="42"/>
      <c r="CP115" s="88"/>
      <c r="CQ115" s="45">
        <v>0</v>
      </c>
      <c r="CR115" s="45">
        <v>1</v>
      </c>
      <c r="CS115" s="45"/>
      <c r="CT115" s="45"/>
    </row>
    <row r="116" spans="1:98">
      <c r="A116" s="18" t="s">
        <v>565</v>
      </c>
      <c r="B116" s="18">
        <v>3</v>
      </c>
      <c r="C116" s="19" t="s">
        <v>11</v>
      </c>
      <c r="D116" s="19" t="s">
        <v>71</v>
      </c>
      <c r="E116" s="18"/>
      <c r="F116" s="18"/>
      <c r="G116" s="18"/>
      <c r="H116" s="18"/>
      <c r="I116" s="18"/>
      <c r="J116" s="18"/>
      <c r="L116" s="18" t="s">
        <v>128</v>
      </c>
      <c r="M116" s="18">
        <v>3</v>
      </c>
      <c r="N116" s="19" t="s">
        <v>117</v>
      </c>
      <c r="O116" s="19" t="s">
        <v>542</v>
      </c>
      <c r="P116" s="18"/>
      <c r="Q116" s="18"/>
      <c r="R116" s="18"/>
      <c r="S116" s="18"/>
      <c r="U116" s="18" t="s">
        <v>132</v>
      </c>
      <c r="V116" s="18">
        <v>3</v>
      </c>
      <c r="W116" s="19" t="s">
        <v>70</v>
      </c>
      <c r="X116" s="19" t="s">
        <v>64</v>
      </c>
      <c r="Y116" s="19"/>
      <c r="Z116" s="19"/>
      <c r="AA116" s="19"/>
      <c r="AB116" s="19"/>
      <c r="AD116" s="18" t="s">
        <v>563</v>
      </c>
      <c r="AE116" s="18">
        <v>3</v>
      </c>
      <c r="AF116" s="19" t="s">
        <v>72</v>
      </c>
      <c r="AG116" s="19" t="s">
        <v>46</v>
      </c>
      <c r="AH116" s="18"/>
      <c r="AI116" s="18"/>
      <c r="AJ116" s="18"/>
      <c r="AK116" s="18"/>
      <c r="AM116" s="18" t="s">
        <v>129</v>
      </c>
      <c r="AN116" s="18">
        <v>3</v>
      </c>
      <c r="AO116" s="19" t="s">
        <v>77</v>
      </c>
      <c r="AP116" s="19" t="s">
        <v>81</v>
      </c>
      <c r="AQ116" s="18"/>
      <c r="AR116" s="18"/>
      <c r="AT116" s="18" t="s">
        <v>128</v>
      </c>
      <c r="AU116" s="18">
        <v>3</v>
      </c>
      <c r="AV116" s="19" t="s">
        <v>117</v>
      </c>
      <c r="AW116" s="19" t="s">
        <v>45</v>
      </c>
      <c r="AX116" s="18"/>
      <c r="AY116" s="18"/>
      <c r="BA116" s="18" t="s">
        <v>281</v>
      </c>
      <c r="BB116" s="18">
        <v>3</v>
      </c>
      <c r="BC116" s="19" t="s">
        <v>45</v>
      </c>
      <c r="BD116" s="19" t="s">
        <v>251</v>
      </c>
      <c r="BE116" s="19"/>
      <c r="BF116" s="19"/>
      <c r="BH116" s="18" t="s">
        <v>129</v>
      </c>
      <c r="BI116" s="18">
        <v>3</v>
      </c>
      <c r="BJ116" s="19" t="s">
        <v>169</v>
      </c>
      <c r="BK116" s="19" t="s">
        <v>446</v>
      </c>
      <c r="BL116" s="19" t="s">
        <v>41</v>
      </c>
      <c r="BM116" s="19"/>
      <c r="BN116" s="19"/>
      <c r="BO116" s="19"/>
      <c r="BQ116" s="18" t="s">
        <v>132</v>
      </c>
      <c r="BR116" s="18">
        <v>3</v>
      </c>
      <c r="BS116" s="19" t="s">
        <v>588</v>
      </c>
      <c r="BT116" s="19" t="s">
        <v>67</v>
      </c>
      <c r="BU116" s="18"/>
      <c r="BV116" s="18"/>
      <c r="BX116" s="18" t="s">
        <v>132</v>
      </c>
      <c r="BY116" s="18">
        <v>3</v>
      </c>
      <c r="BZ116" s="19" t="s">
        <v>588</v>
      </c>
      <c r="CA116" s="19" t="s">
        <v>55</v>
      </c>
      <c r="CB116" s="18"/>
      <c r="CC116" s="18"/>
      <c r="CD116" s="18"/>
      <c r="CE116" s="18"/>
      <c r="CF116" s="18"/>
      <c r="CH116" s="18" t="s">
        <v>130</v>
      </c>
      <c r="CI116" s="18">
        <v>3</v>
      </c>
      <c r="CJ116" s="19" t="s">
        <v>558</v>
      </c>
      <c r="CK116" s="19" t="s">
        <v>52</v>
      </c>
      <c r="CL116" s="18"/>
      <c r="CM116" s="18"/>
      <c r="CO116" s="42" t="s">
        <v>132</v>
      </c>
      <c r="CP116" s="42">
        <v>3</v>
      </c>
      <c r="CQ116" s="45" t="s">
        <v>588</v>
      </c>
      <c r="CR116" s="45" t="s">
        <v>41</v>
      </c>
      <c r="CS116" s="45"/>
      <c r="CT116" s="45"/>
    </row>
    <row r="117" spans="1:98">
      <c r="A117" s="18"/>
      <c r="B117" s="18"/>
      <c r="C117" s="19">
        <v>0</v>
      </c>
      <c r="D117" s="19">
        <v>0</v>
      </c>
      <c r="E117" s="19"/>
      <c r="F117" s="18"/>
      <c r="G117" s="18"/>
      <c r="H117" s="18"/>
      <c r="I117" s="18"/>
      <c r="J117" s="18"/>
      <c r="L117" s="18"/>
      <c r="M117" s="18"/>
      <c r="N117" s="19">
        <v>2</v>
      </c>
      <c r="O117" s="19">
        <v>-2</v>
      </c>
      <c r="P117" s="19"/>
      <c r="Q117" s="18"/>
      <c r="R117" s="18"/>
      <c r="S117" s="18"/>
      <c r="U117" s="18"/>
      <c r="V117" s="18"/>
      <c r="W117" s="19">
        <v>2</v>
      </c>
      <c r="X117" s="19">
        <v>0</v>
      </c>
      <c r="Y117" s="19"/>
      <c r="Z117" s="19"/>
      <c r="AA117" s="19"/>
      <c r="AB117" s="19"/>
      <c r="AD117" s="18"/>
      <c r="AE117" s="18"/>
      <c r="AF117" s="19">
        <v>2</v>
      </c>
      <c r="AG117" s="19">
        <v>0</v>
      </c>
      <c r="AH117" s="19"/>
      <c r="AI117" s="18"/>
      <c r="AJ117" s="18"/>
      <c r="AK117" s="18"/>
      <c r="AM117" s="18" t="s">
        <v>611</v>
      </c>
      <c r="AN117" s="18"/>
      <c r="AO117" s="19">
        <v>0</v>
      </c>
      <c r="AP117" s="19">
        <v>1</v>
      </c>
      <c r="AQ117" s="19"/>
      <c r="AR117" s="18"/>
      <c r="AT117" s="18" t="s">
        <v>640</v>
      </c>
      <c r="AU117" s="18"/>
      <c r="AV117" s="19">
        <v>2</v>
      </c>
      <c r="AW117" s="19">
        <v>-2</v>
      </c>
      <c r="AX117" s="19"/>
      <c r="AY117" s="18"/>
      <c r="BA117" s="18"/>
      <c r="BB117" s="18"/>
      <c r="BC117" s="19">
        <v>0</v>
      </c>
      <c r="BD117" s="19">
        <v>1</v>
      </c>
      <c r="BE117" s="19"/>
      <c r="BF117" s="19"/>
      <c r="BH117" s="18" t="s">
        <v>266</v>
      </c>
      <c r="BI117" s="18"/>
      <c r="BJ117" s="19">
        <v>1</v>
      </c>
      <c r="BK117" s="19">
        <v>0</v>
      </c>
      <c r="BL117" s="19">
        <v>0</v>
      </c>
      <c r="BM117" s="19"/>
      <c r="BN117" s="19"/>
      <c r="BO117" s="19"/>
      <c r="BQ117" s="18"/>
      <c r="BR117" s="18"/>
      <c r="BS117" s="19">
        <v>2</v>
      </c>
      <c r="BT117" s="19">
        <v>0</v>
      </c>
      <c r="BU117" s="19"/>
      <c r="BV117" s="18"/>
      <c r="BX117" s="18" t="s">
        <v>675</v>
      </c>
      <c r="BY117" s="18"/>
      <c r="BZ117" s="19">
        <v>1</v>
      </c>
      <c r="CA117" s="19">
        <v>0</v>
      </c>
      <c r="CB117" s="19"/>
      <c r="CC117" s="18"/>
      <c r="CD117" s="18"/>
      <c r="CE117" s="18"/>
      <c r="CF117" s="18"/>
      <c r="CH117" s="18"/>
      <c r="CI117" s="18"/>
      <c r="CJ117" s="19">
        <v>2</v>
      </c>
      <c r="CK117" s="19">
        <v>0</v>
      </c>
      <c r="CL117" s="19"/>
      <c r="CM117" s="18"/>
      <c r="CO117" s="42"/>
      <c r="CP117" s="42"/>
      <c r="CQ117" s="45">
        <v>2</v>
      </c>
      <c r="CR117" s="45">
        <v>0</v>
      </c>
      <c r="CS117" s="45"/>
      <c r="CT117" s="45"/>
    </row>
    <row r="118" spans="1:98">
      <c r="A118" s="18" t="s">
        <v>564</v>
      </c>
      <c r="B118" s="18">
        <v>4</v>
      </c>
      <c r="C118" s="19" t="s">
        <v>141</v>
      </c>
      <c r="D118" s="25" t="s">
        <v>138</v>
      </c>
      <c r="E118" s="19" t="s">
        <v>14</v>
      </c>
      <c r="F118" s="19" t="s">
        <v>12</v>
      </c>
      <c r="G118" s="18"/>
      <c r="H118" s="18"/>
      <c r="I118" s="18"/>
      <c r="J118" s="18"/>
      <c r="L118" s="18" t="s">
        <v>129</v>
      </c>
      <c r="M118" s="18">
        <v>4</v>
      </c>
      <c r="N118" s="19" t="s">
        <v>62</v>
      </c>
      <c r="O118" s="19" t="s">
        <v>547</v>
      </c>
      <c r="P118" s="19"/>
      <c r="Q118" s="18"/>
      <c r="R118" s="18"/>
      <c r="S118" s="18"/>
      <c r="U118" s="18" t="s">
        <v>563</v>
      </c>
      <c r="V118" s="18">
        <v>4</v>
      </c>
      <c r="W118" s="19" t="s">
        <v>46</v>
      </c>
      <c r="X118" s="19" t="s">
        <v>72</v>
      </c>
      <c r="Y118" s="19"/>
      <c r="Z118" s="19"/>
      <c r="AA118" s="19"/>
      <c r="AB118" s="19"/>
      <c r="AD118" s="18" t="s">
        <v>129</v>
      </c>
      <c r="AE118" s="18">
        <v>4</v>
      </c>
      <c r="AF118" s="19" t="s">
        <v>547</v>
      </c>
      <c r="AG118" s="19" t="s">
        <v>17</v>
      </c>
      <c r="AH118" s="19"/>
      <c r="AI118" s="18"/>
      <c r="AJ118" s="18"/>
      <c r="AK118" s="18"/>
      <c r="AM118" s="18" t="s">
        <v>128</v>
      </c>
      <c r="AN118" s="18">
        <v>4</v>
      </c>
      <c r="AO118" s="19" t="s">
        <v>117</v>
      </c>
      <c r="AP118" s="19" t="s">
        <v>45</v>
      </c>
      <c r="AQ118" s="19"/>
      <c r="AR118" s="18"/>
      <c r="AT118" s="18" t="s">
        <v>563</v>
      </c>
      <c r="AU118" s="18">
        <v>4</v>
      </c>
      <c r="AV118" s="19" t="s">
        <v>59</v>
      </c>
      <c r="AW118" s="19" t="s">
        <v>551</v>
      </c>
      <c r="AX118" s="19"/>
      <c r="AY118" s="18"/>
      <c r="BA118" s="18" t="s">
        <v>282</v>
      </c>
      <c r="BB118" s="18">
        <v>4</v>
      </c>
      <c r="BC118" s="19" t="s">
        <v>38</v>
      </c>
      <c r="BD118" s="19" t="s">
        <v>544</v>
      </c>
      <c r="BE118" s="19"/>
      <c r="BF118" s="19"/>
      <c r="BH118" s="18" t="s">
        <v>130</v>
      </c>
      <c r="BI118" s="18">
        <v>4</v>
      </c>
      <c r="BJ118" s="19" t="s">
        <v>51</v>
      </c>
      <c r="BK118" s="19" t="s">
        <v>52</v>
      </c>
      <c r="BL118" s="19" t="s">
        <v>558</v>
      </c>
      <c r="BM118" s="19"/>
      <c r="BN118" s="19"/>
      <c r="BO118" s="19"/>
      <c r="BQ118" s="18" t="s">
        <v>563</v>
      </c>
      <c r="BR118" s="18">
        <v>4</v>
      </c>
      <c r="BS118" s="19" t="s">
        <v>574</v>
      </c>
      <c r="BT118" s="19" t="s">
        <v>7</v>
      </c>
      <c r="BU118" s="19"/>
      <c r="BV118" s="18"/>
      <c r="BX118" s="18" t="s">
        <v>565</v>
      </c>
      <c r="BY118" s="18">
        <v>4</v>
      </c>
      <c r="BZ118" s="19" t="s">
        <v>111</v>
      </c>
      <c r="CA118" s="19" t="s">
        <v>8</v>
      </c>
      <c r="CB118" s="19"/>
      <c r="CC118" s="18"/>
      <c r="CD118" s="18"/>
      <c r="CE118" s="18"/>
      <c r="CF118" s="18"/>
      <c r="CH118" s="18" t="s">
        <v>565</v>
      </c>
      <c r="CI118" s="18">
        <v>4</v>
      </c>
      <c r="CJ118" s="19" t="s">
        <v>65</v>
      </c>
      <c r="CK118" s="19" t="s">
        <v>551</v>
      </c>
      <c r="CL118" s="19"/>
      <c r="CM118" s="18"/>
      <c r="CO118" s="42" t="s">
        <v>563</v>
      </c>
      <c r="CP118" s="42">
        <v>4</v>
      </c>
      <c r="CQ118" s="45" t="s">
        <v>19</v>
      </c>
      <c r="CR118" s="45" t="s">
        <v>548</v>
      </c>
      <c r="CS118" s="45"/>
      <c r="CT118" s="45"/>
    </row>
    <row r="119" spans="1:98" ht="21" customHeight="1">
      <c r="A119" s="18"/>
      <c r="B119" s="18"/>
      <c r="C119" s="19">
        <v>2</v>
      </c>
      <c r="D119" s="19">
        <v>1</v>
      </c>
      <c r="E119" s="26">
        <v>0</v>
      </c>
      <c r="F119" s="19">
        <v>0</v>
      </c>
      <c r="G119" s="18"/>
      <c r="H119" s="18"/>
      <c r="I119" s="18"/>
      <c r="J119" s="18"/>
      <c r="L119" s="18" t="s">
        <v>583</v>
      </c>
      <c r="M119" s="18"/>
      <c r="N119" s="19">
        <v>0</v>
      </c>
      <c r="O119" s="19">
        <v>1</v>
      </c>
      <c r="P119" s="26"/>
      <c r="Q119" s="18"/>
      <c r="R119" s="18"/>
      <c r="S119" s="18"/>
      <c r="U119" s="18"/>
      <c r="V119" s="18"/>
      <c r="W119" s="19">
        <v>0</v>
      </c>
      <c r="X119" s="19">
        <v>5</v>
      </c>
      <c r="Y119" s="26"/>
      <c r="Z119" s="26"/>
      <c r="AA119" s="26"/>
      <c r="AB119" s="19"/>
      <c r="AD119" s="18" t="s">
        <v>353</v>
      </c>
      <c r="AE119" s="18"/>
      <c r="AF119" s="19">
        <v>2</v>
      </c>
      <c r="AG119" s="19">
        <v>0</v>
      </c>
      <c r="AH119" s="26"/>
      <c r="AI119" s="18"/>
      <c r="AJ119" s="18"/>
      <c r="AK119" s="18"/>
      <c r="AM119" s="124" t="s">
        <v>613</v>
      </c>
      <c r="AN119" s="18"/>
      <c r="AO119" s="19">
        <v>1</v>
      </c>
      <c r="AP119" s="19">
        <v>0</v>
      </c>
      <c r="AQ119" s="26"/>
      <c r="AR119" s="18"/>
      <c r="AT119" s="18" t="s">
        <v>881</v>
      </c>
      <c r="AU119" s="18"/>
      <c r="AV119" s="19">
        <v>0</v>
      </c>
      <c r="AW119" s="19">
        <v>1</v>
      </c>
      <c r="AX119" s="26"/>
      <c r="AY119" s="18"/>
      <c r="BA119" s="18"/>
      <c r="BB119" s="18"/>
      <c r="BC119" s="19">
        <v>0</v>
      </c>
      <c r="BD119" s="19">
        <v>1</v>
      </c>
      <c r="BE119" s="19"/>
      <c r="BF119" s="19"/>
      <c r="BH119" s="18"/>
      <c r="BI119" s="18"/>
      <c r="BJ119" s="19">
        <v>0</v>
      </c>
      <c r="BK119" s="19">
        <v>0</v>
      </c>
      <c r="BL119" s="26">
        <v>1</v>
      </c>
      <c r="BM119" s="26"/>
      <c r="BN119" s="26"/>
      <c r="BO119" s="19"/>
      <c r="BQ119" s="18"/>
      <c r="BR119" s="18"/>
      <c r="BS119" s="19">
        <v>3</v>
      </c>
      <c r="BT119" s="19">
        <v>0</v>
      </c>
      <c r="BU119" s="26"/>
      <c r="BV119" s="18"/>
      <c r="BX119" s="18"/>
      <c r="BY119" s="18"/>
      <c r="BZ119" s="129">
        <v>4</v>
      </c>
      <c r="CA119" s="129">
        <v>-4</v>
      </c>
      <c r="CB119" s="26"/>
      <c r="CC119" s="18"/>
      <c r="CD119" s="18"/>
      <c r="CE119" s="18"/>
      <c r="CF119" s="18"/>
      <c r="CH119" s="18"/>
      <c r="CI119" s="18"/>
      <c r="CJ119" s="19">
        <v>0</v>
      </c>
      <c r="CK119" s="19">
        <v>0</v>
      </c>
      <c r="CL119" s="26"/>
      <c r="CM119" s="18"/>
      <c r="CO119" s="42"/>
      <c r="CP119" s="42"/>
      <c r="CQ119" s="45">
        <v>0</v>
      </c>
      <c r="CR119" s="45">
        <v>1</v>
      </c>
      <c r="CS119" s="45"/>
      <c r="CT119" s="45"/>
    </row>
    <row r="120" spans="1:98">
      <c r="A120" s="18" t="s">
        <v>132</v>
      </c>
      <c r="B120" s="18">
        <v>5</v>
      </c>
      <c r="C120" s="19" t="s">
        <v>70</v>
      </c>
      <c r="D120" s="19" t="s">
        <v>36</v>
      </c>
      <c r="E120" s="19"/>
      <c r="F120" s="18"/>
      <c r="G120" s="18"/>
      <c r="H120" s="18"/>
      <c r="I120" s="18"/>
      <c r="J120" s="18"/>
      <c r="L120" s="18" t="s">
        <v>565</v>
      </c>
      <c r="M120" s="18">
        <v>5</v>
      </c>
      <c r="N120" s="19" t="s">
        <v>71</v>
      </c>
      <c r="O120" s="19" t="s">
        <v>60</v>
      </c>
      <c r="P120" s="19" t="s">
        <v>49</v>
      </c>
      <c r="Q120" s="18"/>
      <c r="R120" s="18"/>
      <c r="S120" s="18"/>
      <c r="U120" s="18" t="s">
        <v>128</v>
      </c>
      <c r="V120" s="18">
        <v>5</v>
      </c>
      <c r="W120" s="19" t="s">
        <v>117</v>
      </c>
      <c r="X120" s="19" t="s">
        <v>38</v>
      </c>
      <c r="Y120" s="19"/>
      <c r="Z120" s="19"/>
      <c r="AA120" s="19"/>
      <c r="AB120" s="19"/>
      <c r="AD120" s="18" t="s">
        <v>130</v>
      </c>
      <c r="AE120" s="18">
        <v>5</v>
      </c>
      <c r="AF120" s="19" t="s">
        <v>156</v>
      </c>
      <c r="AG120" s="19" t="s">
        <v>45</v>
      </c>
      <c r="AH120" s="19"/>
      <c r="AI120" s="18"/>
      <c r="AJ120" s="18"/>
      <c r="AK120" s="18"/>
      <c r="AM120" s="18" t="s">
        <v>563</v>
      </c>
      <c r="AN120" s="18">
        <v>5</v>
      </c>
      <c r="AO120" s="19" t="s">
        <v>72</v>
      </c>
      <c r="AP120" s="19" t="s">
        <v>24</v>
      </c>
      <c r="AQ120" s="19"/>
      <c r="AR120" s="18"/>
      <c r="AT120" s="18" t="s">
        <v>129</v>
      </c>
      <c r="AU120" s="18">
        <v>5</v>
      </c>
      <c r="AV120" s="19" t="s">
        <v>82</v>
      </c>
      <c r="AW120" s="19" t="s">
        <v>169</v>
      </c>
      <c r="AX120" s="19"/>
      <c r="AY120" s="18"/>
      <c r="BA120" s="18" t="s">
        <v>283</v>
      </c>
      <c r="BB120" s="18">
        <v>5</v>
      </c>
      <c r="BC120" s="19" t="s">
        <v>70</v>
      </c>
      <c r="BD120" s="19" t="s">
        <v>36</v>
      </c>
      <c r="BE120" s="19"/>
      <c r="BF120" s="19"/>
      <c r="BH120" s="18" t="s">
        <v>565</v>
      </c>
      <c r="BI120" s="18">
        <v>5</v>
      </c>
      <c r="BJ120" s="19" t="s">
        <v>111</v>
      </c>
      <c r="BK120" s="19" t="s">
        <v>59</v>
      </c>
      <c r="BL120" s="19" t="s">
        <v>12</v>
      </c>
      <c r="BM120" s="19"/>
      <c r="BN120" s="19"/>
      <c r="BO120" s="19"/>
      <c r="BQ120" s="18" t="s">
        <v>128</v>
      </c>
      <c r="BR120" s="18">
        <v>5</v>
      </c>
      <c r="BS120" s="19" t="s">
        <v>117</v>
      </c>
      <c r="BT120" s="19" t="s">
        <v>84</v>
      </c>
      <c r="BU120" s="19"/>
      <c r="BV120" s="18"/>
      <c r="BX120" s="18" t="s">
        <v>130</v>
      </c>
      <c r="BY120" s="18">
        <v>5</v>
      </c>
      <c r="BZ120" s="19" t="s">
        <v>558</v>
      </c>
      <c r="CA120" s="19" t="s">
        <v>542</v>
      </c>
      <c r="CB120" s="19"/>
      <c r="CC120" s="18"/>
      <c r="CD120" s="18"/>
      <c r="CE120" s="18"/>
      <c r="CF120" s="18"/>
      <c r="CH120" s="18" t="s">
        <v>132</v>
      </c>
      <c r="CI120" s="18">
        <v>5</v>
      </c>
      <c r="CJ120" s="19" t="s">
        <v>588</v>
      </c>
      <c r="CK120" s="19" t="s">
        <v>17</v>
      </c>
      <c r="CL120" s="19"/>
      <c r="CM120" s="18"/>
      <c r="CO120" s="42" t="s">
        <v>128</v>
      </c>
      <c r="CP120" s="42">
        <v>5</v>
      </c>
      <c r="CQ120" s="45" t="s">
        <v>56</v>
      </c>
      <c r="CR120" s="45" t="s">
        <v>596</v>
      </c>
      <c r="CS120" s="45"/>
      <c r="CT120" s="45"/>
    </row>
    <row r="121" spans="1:98">
      <c r="A121" s="18"/>
      <c r="B121" s="18"/>
      <c r="C121" s="19">
        <v>2</v>
      </c>
      <c r="D121" s="19">
        <v>0</v>
      </c>
      <c r="E121" s="19"/>
      <c r="F121" s="18"/>
      <c r="G121" s="18"/>
      <c r="H121" s="18"/>
      <c r="I121" s="18"/>
      <c r="J121" s="18"/>
      <c r="L121" s="18"/>
      <c r="M121" s="18"/>
      <c r="N121" s="19">
        <v>1</v>
      </c>
      <c r="O121" s="19">
        <v>0</v>
      </c>
      <c r="P121" s="19">
        <v>-1</v>
      </c>
      <c r="Q121" s="18"/>
      <c r="R121" s="18"/>
      <c r="S121" s="18"/>
      <c r="U121" s="18"/>
      <c r="V121" s="18"/>
      <c r="W121" s="19">
        <v>1</v>
      </c>
      <c r="X121" s="19">
        <v>-1</v>
      </c>
      <c r="Y121" s="19"/>
      <c r="Z121" s="19"/>
      <c r="AA121" s="19"/>
      <c r="AB121" s="19"/>
      <c r="AD121" s="18"/>
      <c r="AE121" s="18"/>
      <c r="AF121" s="19">
        <v>3</v>
      </c>
      <c r="AG121" s="19">
        <v>0</v>
      </c>
      <c r="AH121" s="19"/>
      <c r="AI121" s="18"/>
      <c r="AJ121" s="18"/>
      <c r="AK121" s="18"/>
      <c r="AM121" s="18"/>
      <c r="AN121" s="18"/>
      <c r="AO121" s="19">
        <v>1</v>
      </c>
      <c r="AP121" s="19">
        <v>0</v>
      </c>
      <c r="AQ121" s="19"/>
      <c r="AR121" s="18"/>
      <c r="AT121" s="18" t="s">
        <v>638</v>
      </c>
      <c r="AU121" s="18"/>
      <c r="AV121" s="19">
        <v>0</v>
      </c>
      <c r="AW121" s="19">
        <v>1</v>
      </c>
      <c r="AX121" s="19"/>
      <c r="AY121" s="18"/>
      <c r="BA121" s="18"/>
      <c r="BB121" s="18"/>
      <c r="BC121" s="19">
        <v>1</v>
      </c>
      <c r="BD121" s="19">
        <v>0</v>
      </c>
      <c r="BE121" s="19"/>
      <c r="BF121" s="19"/>
      <c r="BH121" s="18" t="s">
        <v>662</v>
      </c>
      <c r="BI121" s="18"/>
      <c r="BJ121" s="19">
        <v>0</v>
      </c>
      <c r="BK121" s="19">
        <v>0</v>
      </c>
      <c r="BL121" s="19">
        <v>-1</v>
      </c>
      <c r="BM121" s="19"/>
      <c r="BN121" s="19"/>
      <c r="BO121" s="19"/>
      <c r="BQ121" s="18"/>
      <c r="BR121" s="18"/>
      <c r="BS121" s="19">
        <v>0</v>
      </c>
      <c r="BT121" s="19">
        <v>0</v>
      </c>
      <c r="BU121" s="19"/>
      <c r="BV121" s="18"/>
      <c r="BX121" s="18"/>
      <c r="BY121" s="18"/>
      <c r="BZ121" s="19">
        <v>1</v>
      </c>
      <c r="CA121" s="19">
        <v>0</v>
      </c>
      <c r="CB121" s="19"/>
      <c r="CC121" s="18"/>
      <c r="CD121" s="18"/>
      <c r="CE121" s="18"/>
      <c r="CF121" s="18"/>
      <c r="CH121" s="18"/>
      <c r="CI121" s="18"/>
      <c r="CJ121" s="19">
        <v>1</v>
      </c>
      <c r="CK121" s="19">
        <v>0</v>
      </c>
      <c r="CL121" s="19"/>
      <c r="CM121" s="18"/>
      <c r="CO121" s="42"/>
      <c r="CP121" s="42"/>
      <c r="CQ121" s="45">
        <v>0</v>
      </c>
      <c r="CR121" s="45">
        <v>0</v>
      </c>
      <c r="CS121" s="45"/>
      <c r="CT121" s="45"/>
    </row>
    <row r="122" spans="1:98">
      <c r="A122" s="18" t="s">
        <v>128</v>
      </c>
      <c r="B122" s="18">
        <v>6</v>
      </c>
      <c r="C122" s="19" t="s">
        <v>117</v>
      </c>
      <c r="D122" s="19" t="s">
        <v>38</v>
      </c>
      <c r="E122" s="18"/>
      <c r="F122" s="18"/>
      <c r="G122" s="18"/>
      <c r="H122" s="18"/>
      <c r="I122" s="18"/>
      <c r="J122" s="18"/>
      <c r="L122" s="18" t="s">
        <v>130</v>
      </c>
      <c r="M122" s="18">
        <v>6</v>
      </c>
      <c r="N122" s="19" t="s">
        <v>156</v>
      </c>
      <c r="O122" s="19" t="s">
        <v>531</v>
      </c>
      <c r="P122" s="18"/>
      <c r="Q122" s="18"/>
      <c r="R122" s="18"/>
      <c r="S122" s="18"/>
      <c r="U122" s="18" t="s">
        <v>129</v>
      </c>
      <c r="V122" s="18">
        <v>6</v>
      </c>
      <c r="W122" s="19" t="s">
        <v>547</v>
      </c>
      <c r="X122" s="19" t="s">
        <v>532</v>
      </c>
      <c r="Y122" s="19"/>
      <c r="Z122" s="19"/>
      <c r="AA122" s="19"/>
      <c r="AB122" s="19"/>
      <c r="AD122" s="18" t="s">
        <v>565</v>
      </c>
      <c r="AE122" s="18">
        <v>6</v>
      </c>
      <c r="AF122" s="19" t="s">
        <v>111</v>
      </c>
      <c r="AG122" s="19" t="s">
        <v>78</v>
      </c>
      <c r="AH122" s="18"/>
      <c r="AI122" s="18"/>
      <c r="AJ122" s="18"/>
      <c r="AK122" s="18"/>
      <c r="AM122" s="18" t="s">
        <v>132</v>
      </c>
      <c r="AN122" s="18">
        <v>6</v>
      </c>
      <c r="AO122" s="19" t="s">
        <v>588</v>
      </c>
      <c r="AP122" s="19" t="s">
        <v>84</v>
      </c>
      <c r="AQ122" s="18"/>
      <c r="AR122" s="18"/>
      <c r="AT122" s="18" t="s">
        <v>130</v>
      </c>
      <c r="AU122" s="18">
        <v>6</v>
      </c>
      <c r="AV122" s="19" t="s">
        <v>156</v>
      </c>
      <c r="AW122" s="19" t="s">
        <v>37</v>
      </c>
      <c r="AX122" s="18"/>
      <c r="AY122" s="18"/>
      <c r="BA122" s="18" t="s">
        <v>284</v>
      </c>
      <c r="BB122" s="18">
        <v>6</v>
      </c>
      <c r="BC122" s="19" t="s">
        <v>142</v>
      </c>
      <c r="BD122" s="19" t="s">
        <v>52</v>
      </c>
      <c r="BE122" s="19"/>
      <c r="BF122" s="19"/>
      <c r="BH122" s="18" t="s">
        <v>132</v>
      </c>
      <c r="BI122" s="18">
        <v>6</v>
      </c>
      <c r="BJ122" s="19" t="s">
        <v>588</v>
      </c>
      <c r="BK122" s="19" t="s">
        <v>16</v>
      </c>
      <c r="BL122" s="19" t="s">
        <v>2</v>
      </c>
      <c r="BM122" s="19"/>
      <c r="BN122" s="19"/>
      <c r="BO122" s="19"/>
      <c r="BQ122" s="18" t="s">
        <v>129</v>
      </c>
      <c r="BR122" s="18">
        <v>6</v>
      </c>
      <c r="BS122" s="19" t="s">
        <v>58</v>
      </c>
      <c r="BT122" s="19" t="s">
        <v>75</v>
      </c>
      <c r="BU122" s="18"/>
      <c r="BV122" s="18"/>
      <c r="BX122" s="18" t="s">
        <v>129</v>
      </c>
      <c r="BY122" s="18">
        <v>6</v>
      </c>
      <c r="BZ122" s="19" t="s">
        <v>75</v>
      </c>
      <c r="CA122" s="19" t="s">
        <v>17</v>
      </c>
      <c r="CB122" s="18"/>
      <c r="CC122" s="18"/>
      <c r="CD122" s="18"/>
      <c r="CE122" s="18"/>
      <c r="CF122" s="18"/>
      <c r="CH122" s="18" t="s">
        <v>128</v>
      </c>
      <c r="CI122" s="18">
        <v>6</v>
      </c>
      <c r="CJ122" s="19" t="s">
        <v>117</v>
      </c>
      <c r="CK122" s="19" t="s">
        <v>20</v>
      </c>
      <c r="CL122" s="18"/>
      <c r="CM122" s="18"/>
      <c r="CO122" s="42" t="s">
        <v>129</v>
      </c>
      <c r="CP122" s="42">
        <v>6</v>
      </c>
      <c r="CQ122" s="72" t="s">
        <v>75</v>
      </c>
      <c r="CR122" s="45" t="s">
        <v>1</v>
      </c>
      <c r="CS122" s="45"/>
      <c r="CT122" s="45"/>
    </row>
    <row r="123" spans="1:98">
      <c r="A123" s="18"/>
      <c r="B123" s="18"/>
      <c r="C123" s="19">
        <v>0</v>
      </c>
      <c r="D123" s="19">
        <v>0</v>
      </c>
      <c r="E123" s="18"/>
      <c r="F123" s="18"/>
      <c r="G123" s="18"/>
      <c r="H123" s="18"/>
      <c r="I123" s="18"/>
      <c r="J123" s="18"/>
      <c r="L123" s="18"/>
      <c r="M123" s="18"/>
      <c r="N123" s="19">
        <v>3</v>
      </c>
      <c r="O123" s="19">
        <v>0</v>
      </c>
      <c r="P123" s="18"/>
      <c r="Q123" s="18"/>
      <c r="R123" s="18"/>
      <c r="S123" s="18"/>
      <c r="U123" s="18" t="s">
        <v>597</v>
      </c>
      <c r="V123" s="18"/>
      <c r="W123" s="19">
        <v>2</v>
      </c>
      <c r="X123" s="19">
        <v>0</v>
      </c>
      <c r="Y123" s="19"/>
      <c r="Z123" s="19"/>
      <c r="AA123" s="19"/>
      <c r="AB123" s="19"/>
      <c r="AD123" s="18"/>
      <c r="AE123" s="18"/>
      <c r="AF123" s="19">
        <v>1</v>
      </c>
      <c r="AG123" s="19">
        <v>-1</v>
      </c>
      <c r="AH123" s="18"/>
      <c r="AI123" s="18"/>
      <c r="AJ123" s="18"/>
      <c r="AK123" s="18"/>
      <c r="AM123" s="18"/>
      <c r="AN123" s="18"/>
      <c r="AO123" s="19">
        <v>2</v>
      </c>
      <c r="AP123" s="19">
        <v>0</v>
      </c>
      <c r="AQ123" s="18"/>
      <c r="AR123" s="18"/>
      <c r="AT123" s="18"/>
      <c r="AU123" s="18"/>
      <c r="AV123" s="19">
        <v>2</v>
      </c>
      <c r="AW123" s="19">
        <v>0</v>
      </c>
      <c r="AX123" s="18"/>
      <c r="AY123" s="18"/>
      <c r="BA123" s="18"/>
      <c r="BB123" s="18"/>
      <c r="BC123" s="19">
        <v>1</v>
      </c>
      <c r="BD123" s="19">
        <v>0</v>
      </c>
      <c r="BE123" s="19"/>
      <c r="BF123" s="19"/>
      <c r="BH123" s="18"/>
      <c r="BI123" s="18"/>
      <c r="BJ123" s="19">
        <v>1</v>
      </c>
      <c r="BK123" s="19">
        <v>0</v>
      </c>
      <c r="BL123" s="19">
        <v>0</v>
      </c>
      <c r="BM123" s="19"/>
      <c r="BN123" s="19"/>
      <c r="BO123" s="19"/>
      <c r="BQ123" s="18" t="s">
        <v>611</v>
      </c>
      <c r="BR123" s="18"/>
      <c r="BS123" s="19">
        <v>0</v>
      </c>
      <c r="BT123" s="19">
        <v>2</v>
      </c>
      <c r="BU123" s="18"/>
      <c r="BV123" s="18"/>
      <c r="BX123" s="18" t="s">
        <v>674</v>
      </c>
      <c r="BY123" s="18"/>
      <c r="BZ123" s="19">
        <v>2</v>
      </c>
      <c r="CA123" s="19">
        <v>0</v>
      </c>
      <c r="CB123" s="18"/>
      <c r="CC123" s="18"/>
      <c r="CD123" s="18"/>
      <c r="CE123" s="18"/>
      <c r="CF123" s="18"/>
      <c r="CH123" s="18"/>
      <c r="CI123" s="18"/>
      <c r="CJ123" s="19">
        <v>3</v>
      </c>
      <c r="CK123" s="19">
        <v>-2</v>
      </c>
      <c r="CL123" s="18"/>
      <c r="CM123" s="18"/>
      <c r="CO123" s="46" t="s">
        <v>684</v>
      </c>
      <c r="CP123" s="42"/>
      <c r="CQ123" s="45">
        <v>3</v>
      </c>
      <c r="CR123" s="45">
        <v>0</v>
      </c>
      <c r="CS123" s="45"/>
      <c r="CT123" s="45"/>
    </row>
    <row r="124" spans="1:98">
      <c r="A124" s="18" t="s">
        <v>563</v>
      </c>
      <c r="B124" s="18">
        <v>7</v>
      </c>
      <c r="C124" s="19" t="s">
        <v>96</v>
      </c>
      <c r="D124" s="19" t="s">
        <v>24</v>
      </c>
      <c r="E124" s="19"/>
      <c r="F124" s="18"/>
      <c r="G124" s="18"/>
      <c r="H124" s="18"/>
      <c r="I124" s="18"/>
      <c r="J124" s="18"/>
      <c r="L124" s="18" t="s">
        <v>576</v>
      </c>
      <c r="M124" s="18">
        <v>7</v>
      </c>
      <c r="N124" s="19" t="s">
        <v>141</v>
      </c>
      <c r="O124" s="25" t="s">
        <v>138</v>
      </c>
      <c r="P124" s="19" t="s">
        <v>64</v>
      </c>
      <c r="Q124" s="19" t="s">
        <v>24</v>
      </c>
      <c r="R124" s="18"/>
      <c r="S124" s="18"/>
      <c r="U124" s="18" t="s">
        <v>564</v>
      </c>
      <c r="V124" s="18">
        <v>7</v>
      </c>
      <c r="W124" s="19" t="s">
        <v>141</v>
      </c>
      <c r="X124" s="25" t="s">
        <v>138</v>
      </c>
      <c r="Y124" s="19" t="s">
        <v>37</v>
      </c>
      <c r="Z124" s="19" t="s">
        <v>82</v>
      </c>
      <c r="AA124" s="19"/>
      <c r="AB124" s="19"/>
      <c r="AD124" s="18" t="s">
        <v>564</v>
      </c>
      <c r="AE124" s="18">
        <v>7</v>
      </c>
      <c r="AF124" s="19" t="s">
        <v>141</v>
      </c>
      <c r="AG124" s="25" t="s">
        <v>138</v>
      </c>
      <c r="AH124" s="19" t="s">
        <v>44</v>
      </c>
      <c r="AI124" s="19" t="s">
        <v>23</v>
      </c>
      <c r="AJ124" s="18"/>
      <c r="AK124" s="18"/>
      <c r="AM124" s="18" t="s">
        <v>564</v>
      </c>
      <c r="AN124" s="18">
        <v>7</v>
      </c>
      <c r="AO124" s="19" t="s">
        <v>141</v>
      </c>
      <c r="AP124" s="25" t="s">
        <v>138</v>
      </c>
      <c r="AQ124" s="19" t="s">
        <v>55</v>
      </c>
      <c r="AR124" s="19" t="s">
        <v>13</v>
      </c>
      <c r="AT124" s="18" t="s">
        <v>564</v>
      </c>
      <c r="AU124" s="18">
        <v>7</v>
      </c>
      <c r="AV124" s="19" t="s">
        <v>141</v>
      </c>
      <c r="AW124" s="25" t="s">
        <v>138</v>
      </c>
      <c r="AX124" s="19" t="s">
        <v>53</v>
      </c>
      <c r="AY124" s="19" t="s">
        <v>64</v>
      </c>
      <c r="BA124" s="18" t="s">
        <v>285</v>
      </c>
      <c r="BB124" s="18">
        <v>7</v>
      </c>
      <c r="BC124" s="19" t="s">
        <v>144</v>
      </c>
      <c r="BD124" s="19" t="s">
        <v>13</v>
      </c>
      <c r="BE124" s="19"/>
      <c r="BF124" s="19"/>
      <c r="BH124" s="18" t="s">
        <v>564</v>
      </c>
      <c r="BI124" s="18">
        <v>7</v>
      </c>
      <c r="BJ124" s="19" t="s">
        <v>138</v>
      </c>
      <c r="BK124" s="25" t="s">
        <v>141</v>
      </c>
      <c r="BL124" s="19" t="s">
        <v>36</v>
      </c>
      <c r="BM124" s="25" t="s">
        <v>54</v>
      </c>
      <c r="BN124" s="19" t="s">
        <v>59</v>
      </c>
      <c r="BO124" s="19" t="s">
        <v>82</v>
      </c>
      <c r="BQ124" s="18" t="s">
        <v>564</v>
      </c>
      <c r="BR124" s="18">
        <v>7</v>
      </c>
      <c r="BS124" s="19" t="s">
        <v>141</v>
      </c>
      <c r="BT124" s="25" t="s">
        <v>138</v>
      </c>
      <c r="BU124" s="19" t="s">
        <v>542</v>
      </c>
      <c r="BV124" s="19" t="s">
        <v>76</v>
      </c>
      <c r="BX124" s="18" t="s">
        <v>564</v>
      </c>
      <c r="BY124" s="18">
        <v>7</v>
      </c>
      <c r="BZ124" s="19" t="s">
        <v>141</v>
      </c>
      <c r="CA124" s="25" t="s">
        <v>138</v>
      </c>
      <c r="CB124" s="19" t="s">
        <v>531</v>
      </c>
      <c r="CC124" s="19" t="s">
        <v>2</v>
      </c>
      <c r="CD124" s="18"/>
      <c r="CE124" s="18"/>
      <c r="CF124" s="18"/>
      <c r="CH124" s="18" t="s">
        <v>564</v>
      </c>
      <c r="CI124" s="18">
        <v>7</v>
      </c>
      <c r="CJ124" s="19" t="s">
        <v>141</v>
      </c>
      <c r="CK124" s="25" t="s">
        <v>138</v>
      </c>
      <c r="CL124" s="19" t="s">
        <v>39</v>
      </c>
      <c r="CM124" s="19" t="s">
        <v>290</v>
      </c>
      <c r="CO124" s="42" t="s">
        <v>564</v>
      </c>
      <c r="CP124" s="42">
        <v>7</v>
      </c>
      <c r="CQ124" s="45" t="s">
        <v>61</v>
      </c>
      <c r="CR124" s="130" t="s">
        <v>63</v>
      </c>
      <c r="CS124" s="45" t="s">
        <v>547</v>
      </c>
      <c r="CT124" s="45" t="s">
        <v>110</v>
      </c>
    </row>
    <row r="125" spans="1:98">
      <c r="A125" s="18"/>
      <c r="B125" s="18"/>
      <c r="C125" s="19">
        <v>1</v>
      </c>
      <c r="D125" s="19">
        <v>0</v>
      </c>
      <c r="E125" s="18"/>
      <c r="F125" s="18"/>
      <c r="G125" s="18"/>
      <c r="H125" s="18"/>
      <c r="I125" s="18"/>
      <c r="J125" s="18"/>
      <c r="L125" s="18"/>
      <c r="M125" s="18"/>
      <c r="N125" s="19">
        <v>0</v>
      </c>
      <c r="O125" s="19">
        <v>1</v>
      </c>
      <c r="P125" s="19">
        <v>0</v>
      </c>
      <c r="Q125" s="19">
        <v>0</v>
      </c>
      <c r="R125" s="18"/>
      <c r="S125" s="18"/>
      <c r="U125" s="18"/>
      <c r="V125" s="18"/>
      <c r="W125" s="19">
        <v>2</v>
      </c>
      <c r="X125" s="19">
        <v>1</v>
      </c>
      <c r="Y125" s="19">
        <v>0</v>
      </c>
      <c r="Z125" s="19">
        <v>0</v>
      </c>
      <c r="AA125" s="19"/>
      <c r="AB125" s="19"/>
      <c r="AD125" s="18"/>
      <c r="AE125" s="18"/>
      <c r="AF125" s="19">
        <v>3</v>
      </c>
      <c r="AG125" s="19">
        <v>3</v>
      </c>
      <c r="AH125" s="19">
        <v>0</v>
      </c>
      <c r="AI125" s="19">
        <v>0</v>
      </c>
      <c r="AJ125" s="18"/>
      <c r="AK125" s="18"/>
      <c r="AM125" s="18"/>
      <c r="AN125" s="18"/>
      <c r="AO125" s="19">
        <v>2</v>
      </c>
      <c r="AP125" s="19">
        <v>1</v>
      </c>
      <c r="AQ125" s="19">
        <v>0</v>
      </c>
      <c r="AR125" s="19">
        <v>0</v>
      </c>
      <c r="AT125" s="18"/>
      <c r="AU125" s="18"/>
      <c r="AV125" s="19">
        <v>2</v>
      </c>
      <c r="AW125" s="19">
        <v>2</v>
      </c>
      <c r="AX125" s="19">
        <v>0</v>
      </c>
      <c r="AY125" s="19">
        <v>0</v>
      </c>
      <c r="BA125" s="24"/>
      <c r="BB125" s="18"/>
      <c r="BC125" s="19">
        <v>1</v>
      </c>
      <c r="BD125" s="19">
        <v>0</v>
      </c>
      <c r="BE125" s="19"/>
      <c r="BF125" s="19"/>
      <c r="BH125" s="18" t="s">
        <v>663</v>
      </c>
      <c r="BI125" s="18"/>
      <c r="BJ125" s="19">
        <v>1</v>
      </c>
      <c r="BK125" s="19">
        <v>1</v>
      </c>
      <c r="BL125" s="19">
        <v>0</v>
      </c>
      <c r="BM125" s="19">
        <v>0</v>
      </c>
      <c r="BN125" s="19">
        <v>0</v>
      </c>
      <c r="BO125" s="19">
        <v>0</v>
      </c>
      <c r="BQ125" s="18"/>
      <c r="BR125" s="18"/>
      <c r="BS125" s="19">
        <v>1</v>
      </c>
      <c r="BT125" s="19">
        <v>2</v>
      </c>
      <c r="BU125" s="19">
        <v>0</v>
      </c>
      <c r="BV125" s="19">
        <v>0</v>
      </c>
      <c r="BX125" s="18"/>
      <c r="BY125" s="18"/>
      <c r="BZ125" s="19">
        <v>3</v>
      </c>
      <c r="CA125" s="19">
        <v>0</v>
      </c>
      <c r="CB125" s="19">
        <v>0</v>
      </c>
      <c r="CC125" s="19">
        <v>0</v>
      </c>
      <c r="CD125" s="18"/>
      <c r="CE125" s="18"/>
      <c r="CF125" s="18"/>
      <c r="CH125" s="18" t="s">
        <v>682</v>
      </c>
      <c r="CI125" s="18"/>
      <c r="CJ125" s="19">
        <v>1</v>
      </c>
      <c r="CK125" s="19">
        <v>2</v>
      </c>
      <c r="CL125" s="19">
        <v>0</v>
      </c>
      <c r="CM125" s="19">
        <v>0</v>
      </c>
      <c r="CO125" s="42"/>
      <c r="CP125" s="42"/>
      <c r="CQ125" s="45">
        <v>0</v>
      </c>
      <c r="CR125" s="45">
        <v>0</v>
      </c>
      <c r="CS125" s="45">
        <v>1</v>
      </c>
      <c r="CT125" s="45">
        <v>1</v>
      </c>
    </row>
    <row r="126" spans="1:98">
      <c r="A126" s="18" t="s">
        <v>127</v>
      </c>
      <c r="B126" s="18">
        <v>8</v>
      </c>
      <c r="C126" s="19" t="s">
        <v>118</v>
      </c>
      <c r="D126" s="19" t="s">
        <v>63</v>
      </c>
      <c r="E126" s="19"/>
      <c r="F126" s="19"/>
      <c r="G126" s="19"/>
      <c r="H126" s="19"/>
      <c r="I126" s="19"/>
      <c r="J126" s="19"/>
      <c r="L126" s="18" t="s">
        <v>162</v>
      </c>
      <c r="M126" s="18">
        <v>8</v>
      </c>
      <c r="N126" s="19" t="s">
        <v>14</v>
      </c>
      <c r="O126" s="19" t="s">
        <v>17</v>
      </c>
      <c r="P126" s="19" t="s">
        <v>59</v>
      </c>
      <c r="Q126" s="19" t="s">
        <v>82</v>
      </c>
      <c r="R126" s="19" t="s">
        <v>585</v>
      </c>
      <c r="S126" s="19" t="s">
        <v>20</v>
      </c>
      <c r="U126" s="18" t="s">
        <v>559</v>
      </c>
      <c r="V126" s="18">
        <v>8</v>
      </c>
      <c r="W126" s="19" t="s">
        <v>151</v>
      </c>
      <c r="X126" s="19" t="s">
        <v>60</v>
      </c>
      <c r="Y126" s="19"/>
      <c r="Z126" s="19"/>
      <c r="AA126" s="19"/>
      <c r="AB126" s="19"/>
      <c r="AD126" s="18" t="s">
        <v>594</v>
      </c>
      <c r="AE126" s="18">
        <v>8</v>
      </c>
      <c r="AF126" s="19" t="s">
        <v>88</v>
      </c>
      <c r="AG126" s="19" t="s">
        <v>3</v>
      </c>
      <c r="AH126" s="19" t="s">
        <v>77</v>
      </c>
      <c r="AI126" s="19" t="s">
        <v>17</v>
      </c>
      <c r="AJ126" s="19" t="s">
        <v>47</v>
      </c>
      <c r="AK126" s="19" t="s">
        <v>84</v>
      </c>
      <c r="AM126" s="18" t="s">
        <v>127</v>
      </c>
      <c r="AN126" s="18">
        <v>8</v>
      </c>
      <c r="AO126" s="19" t="s">
        <v>67</v>
      </c>
      <c r="AP126" s="19" t="s">
        <v>549</v>
      </c>
      <c r="AQ126" s="19"/>
      <c r="AR126" s="19"/>
      <c r="AT126" s="18" t="s">
        <v>559</v>
      </c>
      <c r="AU126" s="18">
        <v>8</v>
      </c>
      <c r="AV126" s="19" t="s">
        <v>60</v>
      </c>
      <c r="AW126" s="19" t="s">
        <v>123</v>
      </c>
      <c r="AX126" s="19"/>
      <c r="AY126" s="19"/>
      <c r="BA126" s="18" t="s">
        <v>286</v>
      </c>
      <c r="BB126" s="18">
        <v>8</v>
      </c>
      <c r="BC126" s="19" t="s">
        <v>542</v>
      </c>
      <c r="BD126" s="19" t="s">
        <v>579</v>
      </c>
      <c r="BE126" s="19"/>
      <c r="BF126" s="19"/>
      <c r="BH126" s="18" t="s">
        <v>127</v>
      </c>
      <c r="BI126" s="18">
        <v>8</v>
      </c>
      <c r="BJ126" s="19" t="s">
        <v>549</v>
      </c>
      <c r="BK126" s="19" t="s">
        <v>77</v>
      </c>
      <c r="BL126" s="19" t="s">
        <v>37</v>
      </c>
      <c r="BM126" s="19" t="s">
        <v>67</v>
      </c>
      <c r="BN126" s="19"/>
      <c r="BO126" s="19"/>
      <c r="BQ126" s="18" t="s">
        <v>125</v>
      </c>
      <c r="BR126" s="18">
        <v>8</v>
      </c>
      <c r="BS126" s="19" t="s">
        <v>195</v>
      </c>
      <c r="BT126" s="19" t="s">
        <v>42</v>
      </c>
      <c r="BU126" s="19"/>
      <c r="BV126" s="19"/>
      <c r="BX126" s="18" t="s">
        <v>127</v>
      </c>
      <c r="BY126" s="18">
        <v>8</v>
      </c>
      <c r="BZ126" s="19" t="s">
        <v>549</v>
      </c>
      <c r="CA126" s="19" t="s">
        <v>64</v>
      </c>
      <c r="CB126" s="19"/>
      <c r="CC126" s="19"/>
      <c r="CD126" s="19"/>
      <c r="CE126" s="19"/>
      <c r="CF126" s="19"/>
      <c r="CH126" s="18" t="s">
        <v>559</v>
      </c>
      <c r="CI126" s="18">
        <v>8</v>
      </c>
      <c r="CJ126" s="19" t="s">
        <v>72</v>
      </c>
      <c r="CK126" s="19" t="s">
        <v>63</v>
      </c>
      <c r="CL126" s="19"/>
      <c r="CM126" s="19"/>
      <c r="CO126" s="42" t="s">
        <v>843</v>
      </c>
      <c r="CP126" s="42">
        <v>8</v>
      </c>
      <c r="CQ126" s="45" t="s">
        <v>822</v>
      </c>
      <c r="CR126" s="72" t="s">
        <v>61</v>
      </c>
      <c r="CS126" s="45"/>
      <c r="CT126" s="45"/>
    </row>
    <row r="127" spans="1:98">
      <c r="A127" s="18" t="s">
        <v>571</v>
      </c>
      <c r="B127" s="18"/>
      <c r="C127" s="19">
        <v>1</v>
      </c>
      <c r="D127" s="19">
        <v>0</v>
      </c>
      <c r="E127" s="19"/>
      <c r="F127" s="19"/>
      <c r="G127" s="19"/>
      <c r="H127" s="19"/>
      <c r="I127" s="19"/>
      <c r="J127" s="19"/>
      <c r="L127" s="18"/>
      <c r="M127" s="18"/>
      <c r="N127" s="19">
        <v>0</v>
      </c>
      <c r="O127" s="19">
        <v>0</v>
      </c>
      <c r="P127" s="19">
        <v>0</v>
      </c>
      <c r="Q127" s="19">
        <v>0</v>
      </c>
      <c r="R127" s="19">
        <v>1</v>
      </c>
      <c r="S127" s="19">
        <v>0</v>
      </c>
      <c r="U127" s="18"/>
      <c r="V127" s="18"/>
      <c r="W127" s="19">
        <v>3</v>
      </c>
      <c r="X127" s="19">
        <v>0</v>
      </c>
      <c r="Y127" s="19"/>
      <c r="Z127" s="19"/>
      <c r="AA127" s="19"/>
      <c r="AB127" s="19"/>
      <c r="AD127" s="18" t="s">
        <v>604</v>
      </c>
      <c r="AE127" s="18"/>
      <c r="AF127" s="19">
        <v>1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M127" s="18"/>
      <c r="AN127" s="18"/>
      <c r="AO127" s="19">
        <v>0</v>
      </c>
      <c r="AP127" s="19">
        <v>1</v>
      </c>
      <c r="AQ127" s="19"/>
      <c r="AR127" s="19"/>
      <c r="AT127" s="18"/>
      <c r="AU127" s="18"/>
      <c r="AV127" s="19">
        <v>0</v>
      </c>
      <c r="AW127" s="19">
        <v>1</v>
      </c>
      <c r="AX127" s="19"/>
      <c r="AY127" s="19"/>
      <c r="BA127" s="58"/>
      <c r="BB127" s="58"/>
      <c r="BC127" s="59">
        <v>0</v>
      </c>
      <c r="BD127" s="59">
        <v>1</v>
      </c>
      <c r="BE127" s="59"/>
      <c r="BF127" s="59"/>
      <c r="BH127" s="18"/>
      <c r="BI127" s="18"/>
      <c r="BJ127" s="19">
        <v>1</v>
      </c>
      <c r="BK127" s="19">
        <v>0</v>
      </c>
      <c r="BL127" s="19">
        <v>0</v>
      </c>
      <c r="BM127" s="19">
        <v>0</v>
      </c>
      <c r="BN127" s="19"/>
      <c r="BO127" s="19"/>
      <c r="BQ127" s="18"/>
      <c r="BR127" s="18"/>
      <c r="BS127" s="19">
        <v>3</v>
      </c>
      <c r="BT127" s="19">
        <v>0</v>
      </c>
      <c r="BU127" s="19"/>
      <c r="BV127" s="19"/>
      <c r="BX127" s="18"/>
      <c r="BY127" s="18"/>
      <c r="BZ127" s="19">
        <v>1</v>
      </c>
      <c r="CA127" s="19">
        <v>0</v>
      </c>
      <c r="CB127" s="19"/>
      <c r="CC127" s="19"/>
      <c r="CD127" s="19"/>
      <c r="CE127" s="19"/>
      <c r="CF127" s="19"/>
      <c r="CH127" s="18" t="s">
        <v>683</v>
      </c>
      <c r="CI127" s="18"/>
      <c r="CJ127" s="19">
        <v>3</v>
      </c>
      <c r="CK127" s="19">
        <v>0</v>
      </c>
      <c r="CL127" s="19"/>
      <c r="CM127" s="19"/>
      <c r="CO127" s="42" t="s">
        <v>688</v>
      </c>
      <c r="CP127" s="42"/>
      <c r="CQ127" s="45">
        <v>1</v>
      </c>
      <c r="CR127" s="45">
        <v>0</v>
      </c>
      <c r="CS127" s="45"/>
      <c r="CT127" s="45"/>
    </row>
    <row r="128" spans="1:98">
      <c r="A128" s="18" t="s">
        <v>125</v>
      </c>
      <c r="B128" s="18">
        <v>9</v>
      </c>
      <c r="C128" s="19" t="s">
        <v>37</v>
      </c>
      <c r="D128" s="19" t="s">
        <v>83</v>
      </c>
      <c r="E128" s="18"/>
      <c r="F128" s="18"/>
      <c r="G128" s="18"/>
      <c r="H128" s="18"/>
      <c r="I128" s="18"/>
      <c r="J128" s="18"/>
      <c r="L128" s="18" t="s">
        <v>127</v>
      </c>
      <c r="M128" s="18">
        <v>9</v>
      </c>
      <c r="N128" s="19" t="s">
        <v>118</v>
      </c>
      <c r="O128" s="19" t="s">
        <v>67</v>
      </c>
      <c r="P128" s="18"/>
      <c r="Q128" s="18"/>
      <c r="R128" s="18"/>
      <c r="S128" s="18"/>
      <c r="U128" s="18" t="s">
        <v>125</v>
      </c>
      <c r="V128" s="18">
        <v>9</v>
      </c>
      <c r="W128" s="19" t="s">
        <v>83</v>
      </c>
      <c r="X128" s="19" t="s">
        <v>12</v>
      </c>
      <c r="Y128" s="19" t="s">
        <v>542</v>
      </c>
      <c r="Z128" s="19"/>
      <c r="AA128" s="19"/>
      <c r="AB128" s="19"/>
      <c r="AD128" s="18" t="s">
        <v>595</v>
      </c>
      <c r="AE128" s="18">
        <v>9</v>
      </c>
      <c r="AF128" s="19" t="s">
        <v>19</v>
      </c>
      <c r="AG128" s="19" t="s">
        <v>38</v>
      </c>
      <c r="AH128" s="19" t="s">
        <v>8</v>
      </c>
      <c r="AI128" s="19" t="s">
        <v>37</v>
      </c>
      <c r="AJ128" s="19" t="s">
        <v>20</v>
      </c>
      <c r="AK128" s="19" t="s">
        <v>117</v>
      </c>
      <c r="AM128" s="18" t="s">
        <v>559</v>
      </c>
      <c r="AN128" s="18">
        <v>9</v>
      </c>
      <c r="AO128" s="19" t="s">
        <v>43</v>
      </c>
      <c r="AP128" s="19" t="s">
        <v>263</v>
      </c>
      <c r="AQ128" s="18"/>
      <c r="AR128" s="18"/>
      <c r="AT128" s="18" t="s">
        <v>127</v>
      </c>
      <c r="AU128" s="18">
        <v>9</v>
      </c>
      <c r="AV128" s="19" t="s">
        <v>549</v>
      </c>
      <c r="AW128" s="19" t="s">
        <v>77</v>
      </c>
      <c r="AX128" s="18"/>
      <c r="AY128" s="18"/>
      <c r="BA128" s="18" t="s">
        <v>293</v>
      </c>
      <c r="BB128" s="18">
        <v>9</v>
      </c>
      <c r="BC128" s="19" t="s">
        <v>853</v>
      </c>
      <c r="BD128" s="19" t="s">
        <v>20</v>
      </c>
      <c r="BE128" s="18"/>
      <c r="BF128" s="19"/>
      <c r="BH128" s="18" t="s">
        <v>559</v>
      </c>
      <c r="BI128" s="18">
        <v>9</v>
      </c>
      <c r="BJ128" s="19" t="s">
        <v>123</v>
      </c>
      <c r="BK128" s="19" t="s">
        <v>43</v>
      </c>
      <c r="BL128" s="19" t="s">
        <v>53</v>
      </c>
      <c r="BM128" s="19" t="s">
        <v>8</v>
      </c>
      <c r="BN128" s="19"/>
      <c r="BO128" s="19"/>
      <c r="BQ128" s="18" t="s">
        <v>559</v>
      </c>
      <c r="BR128" s="18">
        <v>9</v>
      </c>
      <c r="BS128" s="19" t="s">
        <v>123</v>
      </c>
      <c r="BT128" s="19" t="s">
        <v>60</v>
      </c>
      <c r="BU128" s="18"/>
      <c r="BV128" s="18"/>
      <c r="BX128" s="18" t="s">
        <v>125</v>
      </c>
      <c r="BY128" s="18">
        <v>9</v>
      </c>
      <c r="BZ128" s="19" t="s">
        <v>195</v>
      </c>
      <c r="CA128" s="19" t="s">
        <v>51</v>
      </c>
      <c r="CB128" s="18"/>
      <c r="CC128" s="18"/>
      <c r="CD128" s="18"/>
      <c r="CE128" s="18"/>
      <c r="CF128" s="18"/>
      <c r="CH128" s="18" t="s">
        <v>125</v>
      </c>
      <c r="CI128" s="18">
        <v>9</v>
      </c>
      <c r="CJ128" s="19" t="s">
        <v>195</v>
      </c>
      <c r="CK128" s="19" t="s">
        <v>49</v>
      </c>
      <c r="CL128" s="19"/>
      <c r="CM128" s="19"/>
      <c r="CO128" s="42" t="s">
        <v>844</v>
      </c>
      <c r="CP128" s="42">
        <v>9</v>
      </c>
      <c r="CQ128" s="45" t="s">
        <v>822</v>
      </c>
      <c r="CR128" s="45" t="s">
        <v>60</v>
      </c>
      <c r="CS128" s="45"/>
      <c r="CT128" s="45"/>
    </row>
    <row r="129" spans="1:98">
      <c r="A129" s="18"/>
      <c r="B129" s="18"/>
      <c r="C129" s="19">
        <v>0</v>
      </c>
      <c r="D129" s="19">
        <v>1</v>
      </c>
      <c r="E129" s="18"/>
      <c r="F129" s="18"/>
      <c r="G129" s="18"/>
      <c r="H129" s="18"/>
      <c r="I129" s="18"/>
      <c r="J129" s="18"/>
      <c r="L129" s="18"/>
      <c r="M129" s="18"/>
      <c r="N129" s="19">
        <v>1</v>
      </c>
      <c r="O129" s="19">
        <v>0</v>
      </c>
      <c r="P129" s="18"/>
      <c r="Q129" s="18"/>
      <c r="R129" s="18"/>
      <c r="S129" s="18"/>
      <c r="U129" s="18"/>
      <c r="V129" s="18"/>
      <c r="W129" s="19">
        <v>2</v>
      </c>
      <c r="X129" s="19">
        <v>0</v>
      </c>
      <c r="Y129" s="19">
        <v>0</v>
      </c>
      <c r="Z129" s="19"/>
      <c r="AA129" s="19"/>
      <c r="AB129" s="19"/>
      <c r="AD129" s="18" t="s">
        <v>605</v>
      </c>
      <c r="AE129" s="18"/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1</v>
      </c>
      <c r="AM129" s="18"/>
      <c r="AN129" s="18"/>
      <c r="AO129" s="19">
        <v>0</v>
      </c>
      <c r="AP129" s="19">
        <v>2</v>
      </c>
      <c r="AQ129" s="18"/>
      <c r="AR129" s="18"/>
      <c r="AT129" s="18"/>
      <c r="AU129" s="18"/>
      <c r="AV129" s="19">
        <v>1</v>
      </c>
      <c r="AW129" s="19">
        <v>0</v>
      </c>
      <c r="AX129" s="18"/>
      <c r="AY129" s="18"/>
      <c r="BA129" s="18"/>
      <c r="BB129" s="18"/>
      <c r="BC129" s="19">
        <v>1</v>
      </c>
      <c r="BD129" s="19">
        <v>0</v>
      </c>
      <c r="BE129" s="18"/>
      <c r="BF129" s="19"/>
      <c r="BH129" s="18"/>
      <c r="BI129" s="18"/>
      <c r="BJ129" s="19">
        <v>2</v>
      </c>
      <c r="BK129" s="19">
        <v>0</v>
      </c>
      <c r="BL129" s="19">
        <v>0</v>
      </c>
      <c r="BM129" s="19">
        <v>0</v>
      </c>
      <c r="BN129" s="19"/>
      <c r="BO129" s="19"/>
      <c r="BQ129" s="18" t="s">
        <v>669</v>
      </c>
      <c r="BR129" s="18"/>
      <c r="BS129" s="19">
        <v>1</v>
      </c>
      <c r="BT129" s="19">
        <v>0</v>
      </c>
      <c r="BU129" s="18"/>
      <c r="BV129" s="18"/>
      <c r="BX129" s="18" t="s">
        <v>676</v>
      </c>
      <c r="BY129" s="18"/>
      <c r="BZ129" s="19">
        <v>1</v>
      </c>
      <c r="CA129" s="19">
        <v>0</v>
      </c>
      <c r="CB129" s="18"/>
      <c r="CC129" s="18"/>
      <c r="CD129" s="18"/>
      <c r="CE129" s="18"/>
      <c r="CF129" s="18"/>
      <c r="CH129" s="18"/>
      <c r="CI129" s="18"/>
      <c r="CJ129" s="19">
        <v>2</v>
      </c>
      <c r="CK129" s="19">
        <v>0</v>
      </c>
      <c r="CL129" s="19"/>
      <c r="CM129" s="19"/>
      <c r="CO129" s="42"/>
      <c r="CP129" s="42"/>
      <c r="CQ129" s="45">
        <v>1</v>
      </c>
      <c r="CR129" s="45">
        <v>0</v>
      </c>
      <c r="CS129" s="45"/>
      <c r="CT129" s="45"/>
    </row>
    <row r="130" spans="1:98">
      <c r="A130" s="18" t="s">
        <v>559</v>
      </c>
      <c r="B130" s="18">
        <v>10</v>
      </c>
      <c r="C130" s="19" t="s">
        <v>66</v>
      </c>
      <c r="D130" s="19" t="s">
        <v>151</v>
      </c>
      <c r="E130" s="18"/>
      <c r="F130" s="18"/>
      <c r="G130" s="18"/>
      <c r="H130" s="18"/>
      <c r="I130" s="18"/>
      <c r="J130" s="18"/>
      <c r="L130" s="18" t="s">
        <v>559</v>
      </c>
      <c r="M130" s="18">
        <v>10</v>
      </c>
      <c r="N130" s="19" t="s">
        <v>151</v>
      </c>
      <c r="O130" s="19" t="s">
        <v>65</v>
      </c>
      <c r="P130" s="18"/>
      <c r="Q130" s="18"/>
      <c r="R130" s="18"/>
      <c r="S130" s="18"/>
      <c r="U130" s="18" t="s">
        <v>127</v>
      </c>
      <c r="V130" s="18">
        <v>10</v>
      </c>
      <c r="W130" s="19" t="s">
        <v>118</v>
      </c>
      <c r="X130" s="19" t="s">
        <v>3</v>
      </c>
      <c r="Y130" s="19"/>
      <c r="Z130" s="19"/>
      <c r="AA130" s="19"/>
      <c r="AB130" s="19"/>
      <c r="AD130" s="18" t="s">
        <v>593</v>
      </c>
      <c r="AE130" s="18">
        <v>10</v>
      </c>
      <c r="AF130" s="19" t="s">
        <v>66</v>
      </c>
      <c r="AG130" s="19" t="s">
        <v>5</v>
      </c>
      <c r="AH130" s="19" t="s">
        <v>75</v>
      </c>
      <c r="AI130" s="19" t="s">
        <v>60</v>
      </c>
      <c r="AJ130" s="19" t="s">
        <v>39</v>
      </c>
      <c r="AK130" s="19" t="s">
        <v>48</v>
      </c>
      <c r="AM130" s="18" t="s">
        <v>125</v>
      </c>
      <c r="AN130" s="18">
        <v>10</v>
      </c>
      <c r="AO130" s="19" t="s">
        <v>83</v>
      </c>
      <c r="AP130" s="19" t="s">
        <v>542</v>
      </c>
      <c r="AQ130" s="18"/>
      <c r="AR130" s="18"/>
      <c r="AT130" s="18" t="s">
        <v>125</v>
      </c>
      <c r="AU130" s="18">
        <v>10</v>
      </c>
      <c r="AV130" s="19" t="s">
        <v>83</v>
      </c>
      <c r="AW130" s="19" t="s">
        <v>76</v>
      </c>
      <c r="AX130" s="18"/>
      <c r="AY130" s="18"/>
      <c r="BA130" s="18" t="s">
        <v>648</v>
      </c>
      <c r="BB130" s="18">
        <v>10</v>
      </c>
      <c r="BC130" s="19" t="s">
        <v>70</v>
      </c>
      <c r="BD130" s="19" t="s">
        <v>4</v>
      </c>
      <c r="BE130" s="18"/>
      <c r="BF130" s="19"/>
      <c r="BH130" s="18" t="s">
        <v>125</v>
      </c>
      <c r="BI130" s="18">
        <v>10</v>
      </c>
      <c r="BJ130" s="19" t="s">
        <v>47</v>
      </c>
      <c r="BK130" s="19" t="s">
        <v>42</v>
      </c>
      <c r="BL130" s="19" t="s">
        <v>76</v>
      </c>
      <c r="BM130" s="19" t="s">
        <v>195</v>
      </c>
      <c r="BN130" s="19"/>
      <c r="BO130" s="19"/>
      <c r="BQ130" s="18" t="s">
        <v>127</v>
      </c>
      <c r="BR130" s="18">
        <v>10</v>
      </c>
      <c r="BS130" s="19" t="s">
        <v>549</v>
      </c>
      <c r="BT130" s="19" t="s">
        <v>77</v>
      </c>
      <c r="BU130" s="18"/>
      <c r="BV130" s="18"/>
      <c r="BX130" s="18" t="s">
        <v>559</v>
      </c>
      <c r="BY130" s="18">
        <v>10</v>
      </c>
      <c r="BZ130" s="19" t="s">
        <v>46</v>
      </c>
      <c r="CA130" s="19" t="s">
        <v>72</v>
      </c>
      <c r="CB130" s="18"/>
      <c r="CC130" s="18"/>
      <c r="CD130" s="18"/>
      <c r="CE130" s="18"/>
      <c r="CF130" s="18"/>
      <c r="CH130" s="18" t="s">
        <v>127</v>
      </c>
      <c r="CI130" s="18">
        <v>10</v>
      </c>
      <c r="CJ130" s="19" t="s">
        <v>549</v>
      </c>
      <c r="CK130" s="19" t="s">
        <v>55</v>
      </c>
      <c r="CL130" s="19"/>
      <c r="CM130" s="19"/>
      <c r="CO130" s="46" t="s">
        <v>845</v>
      </c>
      <c r="CP130" s="42">
        <v>10</v>
      </c>
      <c r="CQ130" s="45" t="s">
        <v>822</v>
      </c>
      <c r="CR130" s="72" t="s">
        <v>63</v>
      </c>
      <c r="CS130" s="45"/>
      <c r="CT130" s="45"/>
    </row>
    <row r="131" spans="1:98">
      <c r="A131" s="18"/>
      <c r="B131" s="18"/>
      <c r="C131" s="19">
        <v>0</v>
      </c>
      <c r="D131" s="19">
        <v>2</v>
      </c>
      <c r="E131" s="18"/>
      <c r="F131" s="18"/>
      <c r="G131" s="18"/>
      <c r="H131" s="18"/>
      <c r="I131" s="18"/>
      <c r="J131" s="18"/>
      <c r="L131" s="18"/>
      <c r="M131" s="18"/>
      <c r="N131" s="19">
        <v>2</v>
      </c>
      <c r="O131" s="19">
        <v>0</v>
      </c>
      <c r="P131" s="18"/>
      <c r="Q131" s="18"/>
      <c r="R131" s="18"/>
      <c r="S131" s="18"/>
      <c r="U131" s="18"/>
      <c r="V131" s="18"/>
      <c r="W131" s="19">
        <v>1</v>
      </c>
      <c r="X131" s="19">
        <v>0</v>
      </c>
      <c r="Y131" s="19"/>
      <c r="Z131" s="19"/>
      <c r="AA131" s="19"/>
      <c r="AB131" s="19"/>
      <c r="AD131" s="18"/>
      <c r="AE131" s="18"/>
      <c r="AF131" s="19">
        <v>0</v>
      </c>
      <c r="AG131" s="19">
        <v>0</v>
      </c>
      <c r="AH131" s="19">
        <v>1</v>
      </c>
      <c r="AI131" s="19">
        <v>0</v>
      </c>
      <c r="AJ131" s="19">
        <v>0</v>
      </c>
      <c r="AK131" s="19">
        <v>0</v>
      </c>
      <c r="AM131" s="18"/>
      <c r="AN131" s="18"/>
      <c r="AO131" s="19">
        <v>2</v>
      </c>
      <c r="AP131" s="19">
        <v>0</v>
      </c>
      <c r="AQ131" s="18"/>
      <c r="AR131" s="18"/>
      <c r="AT131" s="18"/>
      <c r="AU131" s="18"/>
      <c r="AV131" s="19">
        <v>1</v>
      </c>
      <c r="AW131" s="19">
        <v>0</v>
      </c>
      <c r="AX131" s="18"/>
      <c r="AY131" s="18"/>
      <c r="BA131" s="126">
        <v>0</v>
      </c>
      <c r="BB131" s="18"/>
      <c r="BC131" s="19">
        <v>1</v>
      </c>
      <c r="BD131" s="19">
        <v>0</v>
      </c>
      <c r="BE131" s="18"/>
      <c r="BF131" s="19"/>
      <c r="BH131" s="18"/>
      <c r="BI131" s="18"/>
      <c r="BJ131" s="19">
        <v>0</v>
      </c>
      <c r="BK131" s="19">
        <v>0</v>
      </c>
      <c r="BL131" s="19">
        <v>0</v>
      </c>
      <c r="BM131" s="19">
        <v>1</v>
      </c>
      <c r="BN131" s="19"/>
      <c r="BO131" s="19"/>
      <c r="BQ131" s="18"/>
      <c r="BR131" s="18"/>
      <c r="BS131" s="19">
        <v>2</v>
      </c>
      <c r="BT131" s="19">
        <v>0</v>
      </c>
      <c r="BU131" s="18"/>
      <c r="BV131" s="18"/>
      <c r="BX131" s="18" t="s">
        <v>882</v>
      </c>
      <c r="BY131" s="18"/>
      <c r="BZ131" s="19">
        <v>0</v>
      </c>
      <c r="CA131" s="19">
        <v>1</v>
      </c>
      <c r="CB131" s="18"/>
      <c r="CC131" s="18"/>
      <c r="CD131" s="18"/>
      <c r="CE131" s="18"/>
      <c r="CF131" s="18"/>
      <c r="CH131" s="18"/>
      <c r="CI131" s="18"/>
      <c r="CJ131" s="19">
        <v>3</v>
      </c>
      <c r="CK131" s="19">
        <v>0</v>
      </c>
      <c r="CL131" s="19"/>
      <c r="CM131" s="19"/>
      <c r="CO131" s="42"/>
      <c r="CP131" s="42"/>
      <c r="CQ131" s="45">
        <v>1</v>
      </c>
      <c r="CR131" s="45">
        <v>0</v>
      </c>
      <c r="CS131" s="45"/>
      <c r="CT131" s="45"/>
    </row>
    <row r="132" spans="1:98">
      <c r="A132" s="18" t="s">
        <v>126</v>
      </c>
      <c r="B132" s="18">
        <v>11</v>
      </c>
      <c r="C132" s="19" t="s">
        <v>45</v>
      </c>
      <c r="D132" s="19" t="s">
        <v>549</v>
      </c>
      <c r="E132" s="19" t="s">
        <v>7</v>
      </c>
      <c r="F132" s="19" t="s">
        <v>542</v>
      </c>
      <c r="G132" s="19" t="s">
        <v>67</v>
      </c>
      <c r="H132" s="18" t="s">
        <v>531</v>
      </c>
      <c r="I132" s="19" t="s">
        <v>326</v>
      </c>
      <c r="J132" s="18" t="s">
        <v>65</v>
      </c>
      <c r="L132" s="18" t="s">
        <v>125</v>
      </c>
      <c r="M132" s="18">
        <v>11</v>
      </c>
      <c r="N132" s="19" t="s">
        <v>83</v>
      </c>
      <c r="O132" s="19" t="s">
        <v>12</v>
      </c>
      <c r="P132" s="18"/>
      <c r="Q132" s="18"/>
      <c r="R132" s="18"/>
      <c r="S132" s="18"/>
      <c r="U132" s="18" t="s">
        <v>442</v>
      </c>
      <c r="V132" s="18">
        <v>11</v>
      </c>
      <c r="W132" s="19" t="s">
        <v>56</v>
      </c>
      <c r="X132" s="19" t="s">
        <v>67</v>
      </c>
      <c r="Y132" s="19" t="s">
        <v>166</v>
      </c>
      <c r="Z132" s="19" t="s">
        <v>47</v>
      </c>
      <c r="AA132" s="19" t="s">
        <v>61</v>
      </c>
      <c r="AB132" s="19" t="s">
        <v>78</v>
      </c>
      <c r="AD132" s="18" t="s">
        <v>127</v>
      </c>
      <c r="AE132" s="18">
        <v>11</v>
      </c>
      <c r="AF132" s="19" t="s">
        <v>55</v>
      </c>
      <c r="AG132" s="19" t="s">
        <v>143</v>
      </c>
      <c r="AH132" s="19"/>
      <c r="AI132" s="19"/>
      <c r="AJ132" s="19"/>
      <c r="AK132" s="19"/>
      <c r="BA132" s="18" t="s">
        <v>649</v>
      </c>
      <c r="BB132" s="18">
        <v>11</v>
      </c>
      <c r="BC132" s="19" t="s">
        <v>142</v>
      </c>
      <c r="BD132" s="19" t="s">
        <v>48</v>
      </c>
      <c r="BE132" s="18"/>
      <c r="BF132" s="19"/>
      <c r="BH132" s="18" t="s">
        <v>127</v>
      </c>
      <c r="BI132" s="18">
        <v>11</v>
      </c>
      <c r="BJ132" s="19" t="s">
        <v>549</v>
      </c>
      <c r="BK132" s="19" t="s">
        <v>50</v>
      </c>
      <c r="BL132" s="18"/>
      <c r="BM132" s="18"/>
      <c r="BN132" s="18"/>
      <c r="BO132" s="18"/>
      <c r="BX132" s="18" t="s">
        <v>441</v>
      </c>
      <c r="BY132" s="18">
        <v>11</v>
      </c>
      <c r="BZ132" s="19" t="s">
        <v>83</v>
      </c>
      <c r="CA132" s="25" t="s">
        <v>568</v>
      </c>
      <c r="CB132" s="19" t="s">
        <v>77</v>
      </c>
      <c r="CC132" s="25" t="s">
        <v>67</v>
      </c>
      <c r="CD132" s="19" t="s">
        <v>60</v>
      </c>
      <c r="CE132" s="19" t="s">
        <v>53</v>
      </c>
      <c r="CF132" s="18"/>
      <c r="CO132" s="42" t="s">
        <v>846</v>
      </c>
      <c r="CP132" s="42">
        <v>11</v>
      </c>
      <c r="CQ132" s="45" t="s">
        <v>823</v>
      </c>
      <c r="CR132" s="45" t="s">
        <v>862</v>
      </c>
      <c r="CS132" s="45"/>
      <c r="CT132" s="45"/>
    </row>
    <row r="133" spans="1:98">
      <c r="A133" s="18"/>
      <c r="B133" s="18"/>
      <c r="C133" s="19">
        <v>0</v>
      </c>
      <c r="D133" s="19">
        <v>1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L133" s="18"/>
      <c r="M133" s="18"/>
      <c r="N133" s="19">
        <v>1</v>
      </c>
      <c r="O133" s="19">
        <v>0</v>
      </c>
      <c r="P133" s="18"/>
      <c r="Q133" s="18"/>
      <c r="R133" s="18"/>
      <c r="S133" s="18"/>
      <c r="U133" s="18" t="s">
        <v>600</v>
      </c>
      <c r="V133" s="18"/>
      <c r="W133" s="19">
        <v>0</v>
      </c>
      <c r="X133" s="19">
        <v>0</v>
      </c>
      <c r="Y133" s="19">
        <v>1</v>
      </c>
      <c r="Z133" s="19">
        <v>0</v>
      </c>
      <c r="AA133" s="19">
        <v>0</v>
      </c>
      <c r="AB133" s="19">
        <v>0</v>
      </c>
      <c r="AD133" s="18"/>
      <c r="AE133" s="18"/>
      <c r="AF133" s="19">
        <v>0</v>
      </c>
      <c r="AG133" s="19">
        <v>1</v>
      </c>
      <c r="AH133" s="19"/>
      <c r="AI133" s="19"/>
      <c r="AJ133" s="19"/>
      <c r="AK133" s="19"/>
      <c r="AN133" s="32" t="s">
        <v>241</v>
      </c>
      <c r="AO133" s="32"/>
      <c r="AP133" s="32"/>
      <c r="BA133" s="18"/>
      <c r="BB133" s="18"/>
      <c r="BC133" s="19">
        <v>1</v>
      </c>
      <c r="BD133" s="19">
        <v>0</v>
      </c>
      <c r="BE133" s="18"/>
      <c r="BF133" s="19"/>
      <c r="BH133" s="18" t="s">
        <v>850</v>
      </c>
      <c r="BI133" s="18"/>
      <c r="BJ133" s="19">
        <v>1</v>
      </c>
      <c r="BK133" s="19">
        <v>0</v>
      </c>
      <c r="BL133" s="18"/>
      <c r="BM133" s="18"/>
      <c r="BN133" s="18"/>
      <c r="BO133" s="18"/>
      <c r="BX133" s="18" t="s">
        <v>677</v>
      </c>
      <c r="BY133" s="18"/>
      <c r="BZ133" s="19">
        <v>2</v>
      </c>
      <c r="CA133" s="19">
        <v>0</v>
      </c>
      <c r="CB133" s="19">
        <v>0</v>
      </c>
      <c r="CC133" s="19">
        <v>0</v>
      </c>
      <c r="CD133" s="19">
        <v>0</v>
      </c>
      <c r="CE133" s="19">
        <v>0</v>
      </c>
      <c r="CF133" s="18"/>
      <c r="CO133" s="42"/>
      <c r="CP133" s="42"/>
      <c r="CQ133" s="45">
        <v>0</v>
      </c>
      <c r="CR133" s="45">
        <v>1</v>
      </c>
      <c r="CS133" s="45"/>
      <c r="CT133" s="45"/>
    </row>
    <row r="134" spans="1:98">
      <c r="AD134" s="18" t="s">
        <v>125</v>
      </c>
      <c r="AE134" s="18">
        <v>12</v>
      </c>
      <c r="AF134" s="19" t="s">
        <v>83</v>
      </c>
      <c r="AG134" s="19" t="s">
        <v>76</v>
      </c>
      <c r="AH134" s="19"/>
      <c r="AI134" s="19"/>
      <c r="AJ134" s="19"/>
      <c r="AK134" s="19"/>
      <c r="AN134" s="32"/>
      <c r="AO134" s="32"/>
      <c r="AP134" s="32"/>
      <c r="BA134" s="18" t="s">
        <v>296</v>
      </c>
      <c r="BB134" s="18">
        <v>12</v>
      </c>
      <c r="BC134" s="19" t="s">
        <v>76</v>
      </c>
      <c r="BD134" s="19" t="s">
        <v>144</v>
      </c>
      <c r="BE134" s="18"/>
      <c r="BF134" s="19"/>
      <c r="CO134" s="42" t="s">
        <v>832</v>
      </c>
      <c r="CP134" s="42">
        <v>12</v>
      </c>
      <c r="CQ134" s="45" t="s">
        <v>47</v>
      </c>
      <c r="CR134" s="72" t="s">
        <v>861</v>
      </c>
      <c r="CS134" s="45"/>
      <c r="CT134" s="45"/>
    </row>
    <row r="135" spans="1:98" ht="16.149999999999999" thickBot="1">
      <c r="AD135" s="18"/>
      <c r="AE135" s="18"/>
      <c r="AF135" s="19">
        <v>1</v>
      </c>
      <c r="AG135" s="19">
        <v>0</v>
      </c>
      <c r="AH135" s="19"/>
      <c r="AI135" s="19"/>
      <c r="AJ135" s="19"/>
      <c r="AK135" s="19"/>
      <c r="AM135" s="66" t="s">
        <v>242</v>
      </c>
      <c r="AN135" s="32"/>
      <c r="AO135" s="66" t="s">
        <v>243</v>
      </c>
      <c r="AQ135" s="66" t="s">
        <v>406</v>
      </c>
      <c r="BA135" s="58"/>
      <c r="BB135" s="58"/>
      <c r="BC135" s="59">
        <v>0</v>
      </c>
      <c r="BD135" s="59">
        <v>1</v>
      </c>
      <c r="BE135" s="58"/>
      <c r="BF135" s="59"/>
      <c r="CO135" s="42" t="s">
        <v>685</v>
      </c>
      <c r="CP135" s="42"/>
      <c r="CQ135" s="45">
        <v>0</v>
      </c>
      <c r="CR135" s="45">
        <v>1</v>
      </c>
      <c r="CS135" s="45"/>
      <c r="CT135" s="45"/>
    </row>
    <row r="136" spans="1:98">
      <c r="AD136" s="18" t="s">
        <v>559</v>
      </c>
      <c r="AE136" s="18">
        <v>13</v>
      </c>
      <c r="AF136" s="19" t="s">
        <v>53</v>
      </c>
      <c r="AG136" s="19" t="s">
        <v>71</v>
      </c>
      <c r="AH136" s="19"/>
      <c r="AI136" s="19"/>
      <c r="AJ136" s="19"/>
      <c r="AK136" s="19"/>
      <c r="AM136" s="51" t="s">
        <v>618</v>
      </c>
      <c r="AN136" s="32"/>
      <c r="AO136" s="125" t="s">
        <v>614</v>
      </c>
      <c r="AP136" s="32"/>
      <c r="AQ136" s="51" t="s">
        <v>622</v>
      </c>
      <c r="BA136" s="18" t="s">
        <v>299</v>
      </c>
      <c r="BB136" s="18">
        <v>13</v>
      </c>
      <c r="BC136" s="19" t="s">
        <v>855</v>
      </c>
      <c r="BD136" s="19" t="s">
        <v>70</v>
      </c>
      <c r="BE136" s="18"/>
      <c r="BF136" s="19"/>
      <c r="CO136" s="42" t="s">
        <v>833</v>
      </c>
      <c r="CP136" s="42">
        <v>13</v>
      </c>
      <c r="CQ136" s="45" t="s">
        <v>861</v>
      </c>
      <c r="CR136" s="45" t="s">
        <v>38</v>
      </c>
      <c r="CS136" s="45"/>
      <c r="CT136" s="45"/>
    </row>
    <row r="137" spans="1:98">
      <c r="AD137" s="19"/>
      <c r="AE137" s="19"/>
      <c r="AF137" s="19">
        <v>0</v>
      </c>
      <c r="AG137" s="19">
        <v>1</v>
      </c>
      <c r="AH137" s="19"/>
      <c r="AI137" s="19"/>
      <c r="AJ137" s="19"/>
      <c r="AK137" s="19"/>
      <c r="AM137" s="51" t="s">
        <v>619</v>
      </c>
      <c r="AN137" s="32"/>
      <c r="AO137" s="125" t="s">
        <v>615</v>
      </c>
      <c r="AP137" s="32"/>
      <c r="AQ137" s="51" t="s">
        <v>623</v>
      </c>
      <c r="BA137" s="18" t="s">
        <v>653</v>
      </c>
      <c r="BB137" s="18"/>
      <c r="BC137" s="19">
        <v>0</v>
      </c>
      <c r="BD137" s="19">
        <v>1</v>
      </c>
      <c r="BE137" s="18"/>
      <c r="BF137" s="19"/>
      <c r="CO137" s="18"/>
      <c r="CP137" s="42"/>
      <c r="CQ137" s="19">
        <v>1</v>
      </c>
      <c r="CR137" s="19">
        <v>0</v>
      </c>
      <c r="CS137" s="18"/>
      <c r="CT137" s="18"/>
    </row>
    <row r="138" spans="1:98">
      <c r="AD138" s="24" t="s">
        <v>559</v>
      </c>
      <c r="AE138" s="87">
        <v>14</v>
      </c>
      <c r="AF138" s="19" t="s">
        <v>71</v>
      </c>
      <c r="AG138" s="19" t="s">
        <v>24</v>
      </c>
      <c r="AH138" s="19"/>
      <c r="AI138" s="19"/>
      <c r="AJ138" s="19"/>
      <c r="AK138" s="19"/>
      <c r="AM138" s="51" t="s">
        <v>620</v>
      </c>
      <c r="AN138" s="32"/>
      <c r="AO138" s="125" t="s">
        <v>616</v>
      </c>
      <c r="AP138" s="32"/>
      <c r="AQ138" s="51" t="s">
        <v>896</v>
      </c>
      <c r="BA138" s="18" t="s">
        <v>651</v>
      </c>
      <c r="BB138" s="18">
        <v>14</v>
      </c>
      <c r="BC138" s="19" t="s">
        <v>142</v>
      </c>
      <c r="BD138" s="19" t="s">
        <v>49</v>
      </c>
      <c r="BE138" s="18"/>
      <c r="BF138" s="19"/>
      <c r="CO138" s="18" t="s">
        <v>847</v>
      </c>
      <c r="CP138" s="42">
        <v>14</v>
      </c>
      <c r="CQ138" s="19" t="s">
        <v>861</v>
      </c>
      <c r="CR138" s="19" t="s">
        <v>42</v>
      </c>
      <c r="CS138" s="18"/>
      <c r="CT138" s="18"/>
    </row>
    <row r="139" spans="1:98">
      <c r="AD139" s="24" t="s">
        <v>606</v>
      </c>
      <c r="AE139" s="19"/>
      <c r="AF139" s="19">
        <v>1</v>
      </c>
      <c r="AG139" s="19">
        <v>0</v>
      </c>
      <c r="AH139" s="19"/>
      <c r="AI139" s="19"/>
      <c r="AJ139" s="19"/>
      <c r="AK139" s="19"/>
      <c r="AM139" s="51" t="s">
        <v>621</v>
      </c>
      <c r="AN139" s="32"/>
      <c r="AO139" s="125" t="s">
        <v>617</v>
      </c>
      <c r="AP139" s="32"/>
      <c r="AQ139" s="51" t="s">
        <v>624</v>
      </c>
      <c r="BA139" s="58"/>
      <c r="BB139" s="58"/>
      <c r="BC139" s="59">
        <v>1</v>
      </c>
      <c r="BD139" s="59">
        <v>0</v>
      </c>
      <c r="BE139" s="58"/>
      <c r="BF139" s="59"/>
      <c r="CO139" s="18"/>
      <c r="CP139" s="42"/>
      <c r="CQ139" s="19">
        <v>1</v>
      </c>
      <c r="CR139" s="19">
        <v>0</v>
      </c>
      <c r="CS139" s="18"/>
      <c r="CT139" s="18"/>
    </row>
    <row r="140" spans="1:98">
      <c r="AM140" s="51" t="s">
        <v>633</v>
      </c>
      <c r="AN140" s="32"/>
      <c r="AO140" s="125" t="s">
        <v>625</v>
      </c>
      <c r="AP140" s="32"/>
      <c r="AQ140" s="51" t="s">
        <v>629</v>
      </c>
      <c r="BA140" s="18" t="s">
        <v>831</v>
      </c>
      <c r="BB140" s="18">
        <v>15</v>
      </c>
      <c r="BC140" s="19" t="s">
        <v>70</v>
      </c>
      <c r="BD140" s="19" t="s">
        <v>84</v>
      </c>
      <c r="BE140" s="18"/>
      <c r="BF140" s="19"/>
      <c r="CO140" s="18" t="s">
        <v>848</v>
      </c>
      <c r="CP140" s="42">
        <v>15</v>
      </c>
      <c r="CQ140" s="19" t="s">
        <v>861</v>
      </c>
      <c r="CR140" s="19" t="s">
        <v>84</v>
      </c>
      <c r="CS140" s="18"/>
      <c r="CT140" s="18"/>
    </row>
    <row r="141" spans="1:98">
      <c r="AM141" s="51" t="s">
        <v>634</v>
      </c>
      <c r="AN141" s="32"/>
      <c r="AO141" s="125" t="s">
        <v>626</v>
      </c>
      <c r="AP141" s="32"/>
      <c r="AQ141" s="51" t="s">
        <v>630</v>
      </c>
      <c r="BA141" s="18" t="s">
        <v>652</v>
      </c>
      <c r="BB141" s="18"/>
      <c r="BC141" s="19">
        <v>1</v>
      </c>
      <c r="BD141" s="19">
        <v>0</v>
      </c>
      <c r="BE141" s="18"/>
      <c r="BF141" s="19"/>
      <c r="CO141" s="18" t="s">
        <v>689</v>
      </c>
      <c r="CP141" s="42"/>
      <c r="CQ141" s="19">
        <v>1</v>
      </c>
      <c r="CR141" s="19">
        <v>0</v>
      </c>
      <c r="CS141" s="18"/>
      <c r="CT141" s="18"/>
    </row>
    <row r="142" spans="1:98">
      <c r="AM142" s="51" t="s">
        <v>635</v>
      </c>
      <c r="AN142" s="32"/>
      <c r="AO142" s="51" t="s">
        <v>627</v>
      </c>
      <c r="AQ142" s="51" t="s">
        <v>631</v>
      </c>
      <c r="BA142" s="49" t="s">
        <v>279</v>
      </c>
      <c r="BB142" s="49">
        <v>1</v>
      </c>
      <c r="BC142" s="54" t="s">
        <v>860</v>
      </c>
      <c r="BD142" s="54" t="s">
        <v>62</v>
      </c>
      <c r="BE142" s="49"/>
      <c r="BF142" s="54" t="s">
        <v>242</v>
      </c>
      <c r="CO142" s="18" t="s">
        <v>836</v>
      </c>
      <c r="CP142" s="18">
        <v>16</v>
      </c>
      <c r="CQ142" s="19" t="s">
        <v>824</v>
      </c>
      <c r="CR142" s="19" t="s">
        <v>112</v>
      </c>
      <c r="CS142" s="18"/>
      <c r="CT142" s="18"/>
    </row>
    <row r="143" spans="1:98">
      <c r="AM143" s="51" t="s">
        <v>636</v>
      </c>
      <c r="AO143" s="51" t="s">
        <v>628</v>
      </c>
      <c r="AQ143" s="51" t="s">
        <v>632</v>
      </c>
      <c r="BA143" s="127">
        <v>0</v>
      </c>
      <c r="BB143" s="49"/>
      <c r="BC143" s="54">
        <v>1</v>
      </c>
      <c r="BD143" s="54">
        <v>0</v>
      </c>
      <c r="BE143" s="49"/>
      <c r="BF143" s="54"/>
      <c r="CO143" s="18" t="s">
        <v>686</v>
      </c>
      <c r="CP143" s="18"/>
      <c r="CQ143" s="19">
        <v>0</v>
      </c>
      <c r="CR143" s="19">
        <v>1</v>
      </c>
      <c r="CS143" s="18"/>
      <c r="CT143" s="18"/>
    </row>
    <row r="144" spans="1:98">
      <c r="AM144" s="51"/>
      <c r="AO144" s="51"/>
      <c r="AQ144" s="51"/>
      <c r="BA144" s="49" t="s">
        <v>280</v>
      </c>
      <c r="BB144" s="49">
        <v>2</v>
      </c>
      <c r="BC144" s="54" t="s">
        <v>112</v>
      </c>
      <c r="BD144" s="54" t="s">
        <v>2</v>
      </c>
      <c r="BE144" s="49"/>
      <c r="BF144" s="54"/>
      <c r="CO144" s="18" t="s">
        <v>833</v>
      </c>
      <c r="CP144" s="18">
        <v>17</v>
      </c>
      <c r="CQ144" s="19" t="s">
        <v>825</v>
      </c>
      <c r="CR144" s="19" t="s">
        <v>860</v>
      </c>
      <c r="CS144" s="18"/>
      <c r="CT144" s="18"/>
    </row>
    <row r="145" spans="39:98">
      <c r="AM145" s="51"/>
      <c r="AO145" s="51"/>
      <c r="AQ145" s="51"/>
      <c r="BA145" s="49"/>
      <c r="BB145" s="49"/>
      <c r="BC145" s="54">
        <v>1</v>
      </c>
      <c r="BD145" s="54">
        <v>0</v>
      </c>
      <c r="BE145" s="49"/>
      <c r="BF145" s="54"/>
      <c r="CO145" s="18"/>
      <c r="CP145" s="18"/>
      <c r="CQ145" s="19">
        <v>0</v>
      </c>
      <c r="CR145" s="19">
        <v>1</v>
      </c>
      <c r="CS145" s="18"/>
      <c r="CT145" s="18"/>
    </row>
    <row r="146" spans="39:98">
      <c r="AM146" s="51"/>
      <c r="AO146" s="51"/>
      <c r="AQ146" s="51"/>
      <c r="BA146" s="49" t="s">
        <v>281</v>
      </c>
      <c r="BB146" s="49">
        <v>3</v>
      </c>
      <c r="BC146" s="54" t="s">
        <v>143</v>
      </c>
      <c r="BD146" s="54" t="s">
        <v>531</v>
      </c>
      <c r="BE146" s="49"/>
      <c r="BF146" s="54"/>
      <c r="CO146" s="18" t="s">
        <v>785</v>
      </c>
      <c r="CP146" s="18">
        <v>18</v>
      </c>
      <c r="CQ146" s="19" t="s">
        <v>858</v>
      </c>
      <c r="CR146" s="19" t="s">
        <v>17</v>
      </c>
      <c r="CS146" s="18"/>
      <c r="CT146" s="18"/>
    </row>
    <row r="147" spans="39:98">
      <c r="AM147" s="51"/>
      <c r="AO147" s="51"/>
      <c r="AQ147" s="51"/>
      <c r="BA147" s="49"/>
      <c r="BB147" s="49"/>
      <c r="BC147" s="54">
        <v>1</v>
      </c>
      <c r="BD147" s="54">
        <v>0</v>
      </c>
      <c r="BE147" s="49"/>
      <c r="BF147" s="54"/>
      <c r="CO147" s="18"/>
      <c r="CP147" s="18"/>
      <c r="CQ147" s="19">
        <v>1</v>
      </c>
      <c r="CR147" s="19">
        <v>0</v>
      </c>
      <c r="CS147" s="18"/>
      <c r="CT147" s="18"/>
    </row>
    <row r="148" spans="39:98">
      <c r="AM148" s="51"/>
      <c r="AO148" s="51"/>
      <c r="AQ148" s="51"/>
      <c r="BA148" s="49" t="s">
        <v>282</v>
      </c>
      <c r="BB148" s="49">
        <v>4</v>
      </c>
      <c r="BC148" s="54" t="s">
        <v>547</v>
      </c>
      <c r="BD148" s="54" t="s">
        <v>446</v>
      </c>
      <c r="BE148" s="49"/>
      <c r="BF148" s="54"/>
      <c r="CO148" s="18" t="s">
        <v>849</v>
      </c>
      <c r="CP148" s="18">
        <v>19</v>
      </c>
      <c r="CQ148" s="19" t="s">
        <v>859</v>
      </c>
      <c r="CR148" s="19" t="s">
        <v>143</v>
      </c>
      <c r="CS148" s="18"/>
      <c r="CT148" s="18"/>
    </row>
    <row r="149" spans="39:98">
      <c r="BA149" s="49"/>
      <c r="BB149" s="49"/>
      <c r="BC149" s="54">
        <v>1</v>
      </c>
      <c r="BD149" s="54">
        <v>0</v>
      </c>
      <c r="BE149" s="49"/>
      <c r="BF149" s="54"/>
      <c r="CO149" s="18"/>
      <c r="CP149" s="18"/>
      <c r="CQ149" s="19">
        <v>0</v>
      </c>
      <c r="CR149" s="19">
        <v>1</v>
      </c>
      <c r="CS149" s="18"/>
      <c r="CT149" s="18"/>
    </row>
    <row r="150" spans="39:98">
      <c r="BA150" s="49" t="s">
        <v>283</v>
      </c>
      <c r="BB150" s="49">
        <v>5</v>
      </c>
      <c r="BC150" s="54" t="s">
        <v>88</v>
      </c>
      <c r="BD150" s="54" t="s">
        <v>39</v>
      </c>
      <c r="BE150" s="49"/>
      <c r="BF150" s="54"/>
    </row>
    <row r="151" spans="39:98">
      <c r="BA151" s="49"/>
      <c r="BB151" s="49"/>
      <c r="BC151" s="54">
        <v>1</v>
      </c>
      <c r="BD151" s="54">
        <v>0</v>
      </c>
      <c r="BE151" s="49"/>
      <c r="BF151" s="54"/>
    </row>
    <row r="152" spans="39:98">
      <c r="BA152" s="49" t="s">
        <v>284</v>
      </c>
      <c r="BB152" s="49">
        <v>6</v>
      </c>
      <c r="BC152" s="54" t="s">
        <v>24</v>
      </c>
      <c r="BD152" s="54" t="s">
        <v>546</v>
      </c>
      <c r="BE152" s="49"/>
      <c r="BF152" s="54"/>
    </row>
    <row r="153" spans="39:98">
      <c r="BA153" s="49"/>
      <c r="BB153" s="49"/>
      <c r="BC153" s="54">
        <v>0</v>
      </c>
      <c r="BD153" s="54">
        <v>1</v>
      </c>
      <c r="BE153" s="49"/>
      <c r="BF153" s="54"/>
    </row>
    <row r="154" spans="39:98">
      <c r="BA154" s="49" t="s">
        <v>285</v>
      </c>
      <c r="BB154" s="49">
        <v>7</v>
      </c>
      <c r="BC154" s="54" t="s">
        <v>55</v>
      </c>
      <c r="BD154" s="54" t="s">
        <v>569</v>
      </c>
      <c r="BE154" s="49"/>
      <c r="BF154" s="54"/>
    </row>
    <row r="155" spans="39:98">
      <c r="BA155" s="53"/>
      <c r="BB155" s="49"/>
      <c r="BC155" s="54">
        <v>0</v>
      </c>
      <c r="BD155" s="54">
        <v>1</v>
      </c>
      <c r="BE155" s="49"/>
      <c r="BF155" s="54"/>
    </row>
    <row r="156" spans="39:98">
      <c r="BA156" s="49" t="s">
        <v>286</v>
      </c>
      <c r="BB156" s="49">
        <v>8</v>
      </c>
      <c r="BC156" s="54" t="s">
        <v>124</v>
      </c>
      <c r="BD156" s="54" t="s">
        <v>82</v>
      </c>
      <c r="BE156" s="49"/>
      <c r="BF156" s="54"/>
    </row>
    <row r="157" spans="39:98">
      <c r="BA157" s="56"/>
      <c r="BB157" s="56"/>
      <c r="BC157" s="57">
        <v>1</v>
      </c>
      <c r="BD157" s="57">
        <v>0</v>
      </c>
      <c r="BE157" s="56"/>
      <c r="BF157" s="57"/>
    </row>
    <row r="158" spans="39:98">
      <c r="BA158" s="49" t="s">
        <v>783</v>
      </c>
      <c r="BB158" s="49">
        <v>9</v>
      </c>
      <c r="BC158" s="54" t="s">
        <v>860</v>
      </c>
      <c r="BD158" s="54" t="s">
        <v>37</v>
      </c>
      <c r="BE158" s="49"/>
      <c r="BF158" s="54"/>
    </row>
    <row r="159" spans="39:98">
      <c r="BA159" s="49"/>
      <c r="BB159" s="49"/>
      <c r="BC159" s="54">
        <v>1</v>
      </c>
      <c r="BD159" s="54">
        <v>0</v>
      </c>
      <c r="BE159" s="49"/>
      <c r="BF159" s="54"/>
    </row>
    <row r="160" spans="39:98">
      <c r="BA160" s="49" t="s">
        <v>650</v>
      </c>
      <c r="BB160" s="49">
        <v>10</v>
      </c>
      <c r="BC160" s="54" t="s">
        <v>50</v>
      </c>
      <c r="BD160" s="54" t="s">
        <v>547</v>
      </c>
      <c r="BE160" s="49"/>
      <c r="BF160" s="54"/>
    </row>
    <row r="161" spans="53:58">
      <c r="BA161" s="49"/>
      <c r="BB161" s="49"/>
      <c r="BC161" s="54">
        <v>0</v>
      </c>
      <c r="BD161" s="54">
        <v>1</v>
      </c>
      <c r="BE161" s="49"/>
      <c r="BF161" s="54"/>
    </row>
    <row r="162" spans="53:58">
      <c r="BA162" s="49" t="s">
        <v>872</v>
      </c>
      <c r="BB162" s="49">
        <v>11</v>
      </c>
      <c r="BC162" s="54" t="s">
        <v>67</v>
      </c>
      <c r="BD162" s="54" t="s">
        <v>546</v>
      </c>
      <c r="BE162" s="49"/>
      <c r="BF162" s="54"/>
    </row>
    <row r="163" spans="53:58">
      <c r="BA163" s="49"/>
      <c r="BB163" s="49"/>
      <c r="BC163" s="54">
        <v>0</v>
      </c>
      <c r="BD163" s="54">
        <v>1</v>
      </c>
      <c r="BE163" s="49"/>
      <c r="BF163" s="54"/>
    </row>
    <row r="164" spans="53:58">
      <c r="BA164" s="49" t="s">
        <v>295</v>
      </c>
      <c r="BB164" s="49">
        <v>12</v>
      </c>
      <c r="BC164" s="54" t="s">
        <v>64</v>
      </c>
      <c r="BD164" s="54" t="s">
        <v>569</v>
      </c>
      <c r="BE164" s="49"/>
      <c r="BF164" s="54"/>
    </row>
    <row r="165" spans="53:58">
      <c r="BA165" s="56"/>
      <c r="BB165" s="56"/>
      <c r="BC165" s="57">
        <v>0</v>
      </c>
      <c r="BD165" s="57">
        <v>1</v>
      </c>
      <c r="BE165" s="56"/>
      <c r="BF165" s="57"/>
    </row>
    <row r="166" spans="53:58">
      <c r="BA166" s="49" t="s">
        <v>786</v>
      </c>
      <c r="BB166" s="49">
        <v>13</v>
      </c>
      <c r="BC166" s="54" t="s">
        <v>860</v>
      </c>
      <c r="BD166" s="54" t="s">
        <v>77</v>
      </c>
      <c r="BE166" s="49"/>
      <c r="BF166" s="54"/>
    </row>
    <row r="167" spans="53:58">
      <c r="BA167" s="49"/>
      <c r="BB167" s="49"/>
      <c r="BC167" s="54">
        <v>1</v>
      </c>
      <c r="BD167" s="54">
        <v>0</v>
      </c>
      <c r="BE167" s="49"/>
      <c r="BF167" s="54"/>
    </row>
    <row r="168" spans="53:58">
      <c r="BA168" s="49" t="s">
        <v>873</v>
      </c>
      <c r="BB168" s="49">
        <v>14</v>
      </c>
      <c r="BC168" s="54" t="s">
        <v>16</v>
      </c>
      <c r="BD168" s="54" t="s">
        <v>546</v>
      </c>
      <c r="BE168" s="49"/>
      <c r="BF168" s="54"/>
    </row>
    <row r="169" spans="53:58">
      <c r="BA169" s="56"/>
      <c r="BB169" s="56"/>
      <c r="BC169" s="57">
        <v>0</v>
      </c>
      <c r="BD169" s="57">
        <v>1</v>
      </c>
      <c r="BE169" s="56"/>
      <c r="BF169" s="57"/>
    </row>
    <row r="170" spans="53:58">
      <c r="BA170" s="49" t="s">
        <v>874</v>
      </c>
      <c r="BB170" s="49">
        <v>15</v>
      </c>
      <c r="BC170" s="54" t="s">
        <v>860</v>
      </c>
      <c r="BD170" s="54" t="s">
        <v>17</v>
      </c>
      <c r="BE170" s="49"/>
      <c r="BF170" s="54"/>
    </row>
    <row r="171" spans="53:58">
      <c r="BA171" s="49"/>
      <c r="BB171" s="49"/>
      <c r="BC171" s="54">
        <v>1</v>
      </c>
      <c r="BD171" s="54">
        <v>0</v>
      </c>
      <c r="BE171" s="49"/>
      <c r="BF171" s="54"/>
    </row>
    <row r="172" spans="53:58">
      <c r="BA172" s="97" t="s">
        <v>279</v>
      </c>
      <c r="BB172" s="97">
        <v>1</v>
      </c>
      <c r="BC172" s="98" t="s">
        <v>863</v>
      </c>
      <c r="BD172" s="98" t="s">
        <v>44</v>
      </c>
      <c r="BE172" s="97"/>
      <c r="BF172" s="98" t="s">
        <v>406</v>
      </c>
    </row>
    <row r="173" spans="53:58">
      <c r="BA173" s="97"/>
      <c r="BB173" s="97"/>
      <c r="BC173" s="98">
        <v>1</v>
      </c>
      <c r="BD173" s="98">
        <v>0</v>
      </c>
      <c r="BE173" s="97"/>
      <c r="BF173" s="98"/>
    </row>
    <row r="174" spans="53:58">
      <c r="BA174" s="97" t="s">
        <v>280</v>
      </c>
      <c r="BB174" s="97">
        <v>2</v>
      </c>
      <c r="BC174" s="98" t="s">
        <v>138</v>
      </c>
      <c r="BD174" s="98" t="s">
        <v>5</v>
      </c>
      <c r="BE174" s="97"/>
      <c r="BF174" s="98"/>
    </row>
    <row r="175" spans="53:58">
      <c r="BA175" s="97"/>
      <c r="BB175" s="97"/>
      <c r="BC175" s="98">
        <v>1</v>
      </c>
      <c r="BD175" s="98">
        <v>0</v>
      </c>
      <c r="BE175" s="97"/>
      <c r="BF175" s="98"/>
    </row>
    <row r="176" spans="53:58">
      <c r="BA176" s="97" t="s">
        <v>281</v>
      </c>
      <c r="BB176" s="97">
        <v>3</v>
      </c>
      <c r="BC176" s="98" t="s">
        <v>141</v>
      </c>
      <c r="BD176" s="98" t="s">
        <v>66</v>
      </c>
      <c r="BE176" s="97"/>
      <c r="BF176" s="98"/>
    </row>
    <row r="177" spans="53:58">
      <c r="BA177" s="97"/>
      <c r="BB177" s="97"/>
      <c r="BC177" s="98">
        <v>1</v>
      </c>
      <c r="BD177" s="98">
        <v>0</v>
      </c>
      <c r="BE177" s="97"/>
      <c r="BF177" s="98"/>
    </row>
    <row r="178" spans="53:58">
      <c r="BA178" s="97" t="s">
        <v>282</v>
      </c>
      <c r="BB178" s="97">
        <v>4</v>
      </c>
      <c r="BC178" s="98" t="s">
        <v>263</v>
      </c>
      <c r="BD178" s="98" t="s">
        <v>290</v>
      </c>
      <c r="BE178" s="97"/>
      <c r="BF178" s="98"/>
    </row>
    <row r="179" spans="53:58">
      <c r="BA179" s="97"/>
      <c r="BB179" s="97"/>
      <c r="BC179" s="98">
        <v>1</v>
      </c>
      <c r="BD179" s="98">
        <v>0</v>
      </c>
      <c r="BE179" s="97"/>
      <c r="BF179" s="98"/>
    </row>
    <row r="180" spans="53:58">
      <c r="BA180" s="97" t="s">
        <v>283</v>
      </c>
      <c r="BB180" s="97">
        <v>5</v>
      </c>
      <c r="BC180" s="98" t="s">
        <v>151</v>
      </c>
      <c r="BD180" s="98" t="s">
        <v>19</v>
      </c>
      <c r="BE180" s="97"/>
      <c r="BF180" s="98"/>
    </row>
    <row r="181" spans="53:58">
      <c r="BA181" s="97"/>
      <c r="BB181" s="97"/>
      <c r="BC181" s="98">
        <v>1</v>
      </c>
      <c r="BD181" s="98">
        <v>0</v>
      </c>
      <c r="BE181" s="97"/>
      <c r="BF181" s="98"/>
    </row>
    <row r="182" spans="53:58">
      <c r="BA182" s="97" t="s">
        <v>284</v>
      </c>
      <c r="BB182" s="97">
        <v>6</v>
      </c>
      <c r="BC182" s="98" t="s">
        <v>71</v>
      </c>
      <c r="BD182" s="98" t="s">
        <v>11</v>
      </c>
      <c r="BE182" s="97"/>
      <c r="BF182" s="98"/>
    </row>
    <row r="183" spans="53:58">
      <c r="BA183" s="97"/>
      <c r="BB183" s="97"/>
      <c r="BC183" s="98">
        <v>1</v>
      </c>
      <c r="BD183" s="98">
        <v>0</v>
      </c>
      <c r="BE183" s="97"/>
      <c r="BF183" s="98"/>
    </row>
    <row r="184" spans="53:58">
      <c r="BA184" s="97" t="s">
        <v>285</v>
      </c>
      <c r="BB184" s="97">
        <v>7</v>
      </c>
      <c r="BC184" s="98" t="s">
        <v>59</v>
      </c>
      <c r="BD184" s="98" t="s">
        <v>587</v>
      </c>
      <c r="BE184" s="97"/>
      <c r="BF184" s="98"/>
    </row>
    <row r="185" spans="53:58">
      <c r="BA185" s="99"/>
      <c r="BB185" s="97"/>
      <c r="BC185" s="98">
        <v>0</v>
      </c>
      <c r="BD185" s="98">
        <v>1</v>
      </c>
      <c r="BE185" s="97"/>
      <c r="BF185" s="98"/>
    </row>
    <row r="186" spans="53:58">
      <c r="BA186" s="97" t="s">
        <v>286</v>
      </c>
      <c r="BB186" s="97">
        <v>8</v>
      </c>
      <c r="BC186" s="98" t="s">
        <v>557</v>
      </c>
      <c r="BD186" s="98" t="s">
        <v>78</v>
      </c>
      <c r="BE186" s="97"/>
      <c r="BF186" s="98"/>
    </row>
    <row r="187" spans="53:58">
      <c r="BA187" s="100"/>
      <c r="BB187" s="100"/>
      <c r="BC187" s="101">
        <v>1</v>
      </c>
      <c r="BD187" s="101">
        <v>0</v>
      </c>
      <c r="BE187" s="100"/>
      <c r="BF187" s="101"/>
    </row>
    <row r="188" spans="53:58">
      <c r="BA188" s="97" t="s">
        <v>783</v>
      </c>
      <c r="BB188" s="97">
        <v>9</v>
      </c>
      <c r="BC188" s="98" t="s">
        <v>863</v>
      </c>
      <c r="BD188" s="98" t="s">
        <v>12</v>
      </c>
      <c r="BE188" s="97"/>
      <c r="BF188" s="98"/>
    </row>
    <row r="189" spans="53:58">
      <c r="BA189" s="97"/>
      <c r="BB189" s="97"/>
      <c r="BC189" s="98">
        <v>1</v>
      </c>
      <c r="BD189" s="98">
        <v>0</v>
      </c>
      <c r="BE189" s="97"/>
      <c r="BF189" s="98"/>
    </row>
    <row r="190" spans="53:58">
      <c r="BA190" s="99" t="s">
        <v>650</v>
      </c>
      <c r="BB190" s="97">
        <v>10</v>
      </c>
      <c r="BC190" s="98" t="s">
        <v>151</v>
      </c>
      <c r="BD190" s="98" t="s">
        <v>60</v>
      </c>
      <c r="BE190" s="97"/>
      <c r="BF190" s="98"/>
    </row>
    <row r="191" spans="53:58">
      <c r="BA191" s="97"/>
      <c r="BB191" s="97"/>
      <c r="BC191" s="98">
        <v>1</v>
      </c>
      <c r="BD191" s="98">
        <v>0</v>
      </c>
      <c r="BE191" s="97"/>
      <c r="BF191" s="98"/>
    </row>
    <row r="192" spans="53:58">
      <c r="BA192" s="97" t="s">
        <v>298</v>
      </c>
      <c r="BB192" s="97">
        <v>11</v>
      </c>
      <c r="BC192" s="98" t="s">
        <v>141</v>
      </c>
      <c r="BD192" s="98" t="s">
        <v>43</v>
      </c>
      <c r="BE192" s="97"/>
      <c r="BF192" s="98"/>
    </row>
    <row r="193" spans="53:58">
      <c r="BA193" s="97"/>
      <c r="BB193" s="97"/>
      <c r="BC193" s="98">
        <v>1</v>
      </c>
      <c r="BD193" s="98">
        <v>0</v>
      </c>
      <c r="BE193" s="97"/>
      <c r="BF193" s="98"/>
    </row>
    <row r="194" spans="53:58">
      <c r="BA194" s="97" t="s">
        <v>295</v>
      </c>
      <c r="BB194" s="97">
        <v>12</v>
      </c>
      <c r="BC194" s="98" t="s">
        <v>63</v>
      </c>
      <c r="BD194" s="98" t="s">
        <v>587</v>
      </c>
      <c r="BE194" s="97"/>
      <c r="BF194" s="98"/>
    </row>
    <row r="195" spans="53:58">
      <c r="BA195" s="100"/>
      <c r="BB195" s="100"/>
      <c r="BC195" s="101">
        <v>0</v>
      </c>
      <c r="BD195" s="101">
        <v>1</v>
      </c>
      <c r="BE195" s="100"/>
      <c r="BF195" s="101"/>
    </row>
    <row r="196" spans="53:58">
      <c r="BA196" s="97" t="s">
        <v>299</v>
      </c>
      <c r="BB196" s="97">
        <v>13</v>
      </c>
      <c r="BC196" s="98" t="s">
        <v>863</v>
      </c>
      <c r="BD196" s="98" t="s">
        <v>53</v>
      </c>
      <c r="BE196" s="97"/>
      <c r="BF196" s="98"/>
    </row>
    <row r="197" spans="53:58">
      <c r="BA197" s="97"/>
      <c r="BB197" s="97"/>
      <c r="BC197" s="98">
        <v>1</v>
      </c>
      <c r="BD197" s="98">
        <v>0</v>
      </c>
      <c r="BE197" s="97"/>
      <c r="BF197" s="98"/>
    </row>
    <row r="198" spans="53:58">
      <c r="BA198" s="97" t="s">
        <v>875</v>
      </c>
      <c r="BB198" s="97">
        <v>14</v>
      </c>
      <c r="BC198" s="98" t="s">
        <v>61</v>
      </c>
      <c r="BD198" s="98" t="s">
        <v>587</v>
      </c>
      <c r="BE198" s="97"/>
      <c r="BF198" s="98"/>
    </row>
    <row r="199" spans="53:58">
      <c r="BA199" s="100"/>
      <c r="BB199" s="100"/>
      <c r="BC199" s="101">
        <v>0</v>
      </c>
      <c r="BD199" s="101">
        <v>1</v>
      </c>
      <c r="BE199" s="100"/>
      <c r="BF199" s="101"/>
    </row>
    <row r="200" spans="53:58">
      <c r="BA200" s="97" t="s">
        <v>876</v>
      </c>
      <c r="BB200" s="97">
        <v>15</v>
      </c>
      <c r="BC200" s="98" t="s">
        <v>863</v>
      </c>
      <c r="BD200" s="98" t="s">
        <v>8</v>
      </c>
      <c r="BE200" s="97"/>
      <c r="BF200" s="98"/>
    </row>
    <row r="201" spans="53:58">
      <c r="BA201" s="97"/>
      <c r="BB201" s="97"/>
      <c r="BC201" s="98">
        <v>1</v>
      </c>
      <c r="BD201" s="98">
        <v>0</v>
      </c>
      <c r="BE201" s="97"/>
      <c r="BF201" s="9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57"/>
  <sheetViews>
    <sheetView topLeftCell="A27" workbookViewId="0">
      <selection activeCell="C53" sqref="C53"/>
    </sheetView>
  </sheetViews>
  <sheetFormatPr defaultColWidth="11" defaultRowHeight="15.75"/>
  <cols>
    <col min="1" max="1" width="15.6875" bestFit="1" customWidth="1"/>
    <col min="2" max="2" width="5.5" bestFit="1" customWidth="1"/>
    <col min="3" max="3" width="4.5" bestFit="1" customWidth="1"/>
    <col min="5" max="5" width="17.3125" bestFit="1" customWidth="1"/>
    <col min="6" max="6" width="5.5" bestFit="1" customWidth="1"/>
    <col min="7" max="7" width="4.5" bestFit="1" customWidth="1"/>
    <col min="9" max="9" width="18.1875" bestFit="1" customWidth="1"/>
    <col min="10" max="10" width="5.5" bestFit="1" customWidth="1"/>
    <col min="11" max="11" width="4.5" bestFit="1" customWidth="1"/>
  </cols>
  <sheetData>
    <row r="1" spans="1:3">
      <c r="A1" t="s">
        <v>86</v>
      </c>
      <c r="B1" s="13" t="s">
        <v>79</v>
      </c>
      <c r="C1" s="14" t="s">
        <v>80</v>
      </c>
    </row>
    <row r="2" spans="1:3">
      <c r="A2" t="s">
        <v>42</v>
      </c>
      <c r="B2" s="15">
        <f>COUNTIF('Season 6'!A:AAO, CONCATENATE(TRIM(A2), " ","-"," ","W*"))</f>
        <v>23</v>
      </c>
      <c r="C2" s="16">
        <f>SUM(COUNTIF('Season 6'!A:AAO, TRIM(A2)), COUNTIF('Season 6'!A:AAO, TRIM(A2) &amp; " (Defending)"), COUNTIF('Season 6'!A:AAO, TRIM(A2) &amp; " (PL)"), COUNTIF('Season 6'!A:AAO, TRIM(A2) &amp; " (PL) (Defending)"))</f>
        <v>5</v>
      </c>
    </row>
    <row r="3" spans="1:3">
      <c r="A3" t="s">
        <v>45</v>
      </c>
      <c r="B3" s="15">
        <f>COUNTIF('Season 6'!A:AAO, CONCATENATE(TRIM(A3), " ","-"," ","W*"))</f>
        <v>20</v>
      </c>
      <c r="C3" s="16">
        <f>SUM(COUNTIF('Season 6'!A:AAO, TRIM(A3)), COUNTIF('Season 6'!A:AAO, TRIM(A3) &amp; " (Defending)"), COUNTIF('Season 6'!A:AAO, TRIM(A3) &amp; " (PL)"), COUNTIF('Season 6'!A:AAO, TRIM(A3) &amp; " (PL) (Defending)"))</f>
        <v>8</v>
      </c>
    </row>
    <row r="4" spans="1:3">
      <c r="A4" t="s">
        <v>56</v>
      </c>
      <c r="B4" s="15">
        <f>COUNTIF('Season 6'!A:AAO, CONCATENATE(TRIM(A4), " ","-"," ","W*"))</f>
        <v>17</v>
      </c>
      <c r="C4" s="16">
        <f>SUM(COUNTIF('Season 6'!A:AAO, TRIM(A4)), COUNTIF('Season 6'!A:AAO, TRIM(A4) &amp; " (Defending)"), COUNTIF('Season 6'!A:AAO, TRIM(A4) &amp; " (PL)"), COUNTIF('Season 6'!A:AAO, TRIM(A4) &amp; " (PL) (Defending)"))</f>
        <v>7</v>
      </c>
    </row>
    <row r="5" spans="1:3">
      <c r="A5" t="s">
        <v>38</v>
      </c>
      <c r="B5" s="15">
        <f>COUNTIF('Season 6'!A:AAO, CONCATENATE(TRIM(A5), " ","-"," ","W*"))</f>
        <v>16</v>
      </c>
      <c r="C5" s="16">
        <f>SUM(COUNTIF('Season 6'!A:AAO, TRIM(A5)), COUNTIF('Season 6'!A:AAO, TRIM(A5) &amp; " (Defending)"), COUNTIF('Season 6'!A:AAO, TRIM(A5) &amp; " (PL)"), COUNTIF('Season 6'!A:AAO, TRIM(A5) &amp; " (PL) (Defending)"))</f>
        <v>14</v>
      </c>
    </row>
    <row r="6" spans="1:3">
      <c r="A6" t="s">
        <v>76</v>
      </c>
      <c r="B6" s="15">
        <f>COUNTIF('Season 6'!A:AAO, CONCATENATE(TRIM(A6), " ","-"," ","W*"))</f>
        <v>15</v>
      </c>
      <c r="C6" s="16">
        <f>SUM(COUNTIF('Season 6'!A:AAO, TRIM(A6)), COUNTIF('Season 6'!A:AAO, TRIM(A6) &amp; " (Defending)"), COUNTIF('Season 6'!A:AAO, TRIM(A6) &amp; " (PL)"), COUNTIF('Season 6'!A:AAO, TRIM(A6) &amp; " (PL) (Defending)"))</f>
        <v>10</v>
      </c>
    </row>
    <row r="7" spans="1:3">
      <c r="A7" t="s">
        <v>47</v>
      </c>
      <c r="B7" s="15">
        <f>COUNTIF('Season 6'!A:AAO, CONCATENATE(TRIM(A7), " ","-"," ","W*"))</f>
        <v>15</v>
      </c>
      <c r="C7" s="16">
        <f>SUM(COUNTIF('Season 6'!A:AAO, TRIM(A7)), COUNTIF('Season 6'!A:AAO, TRIM(A7) &amp; " (Defending)"), COUNTIF('Season 6'!A:AAO, TRIM(A7) &amp; " (PL)"), COUNTIF('Season 6'!A:AAO, TRIM(A7) &amp; " (PL) (Defending)"))</f>
        <v>10</v>
      </c>
    </row>
    <row r="8" spans="1:3">
      <c r="A8" t="s">
        <v>51</v>
      </c>
      <c r="B8" s="15">
        <f>COUNTIF('Season 6'!A:AAO, CONCATENATE(TRIM(A8), " ","-"," ","W*"))</f>
        <v>14</v>
      </c>
      <c r="C8" s="16">
        <f>SUM(COUNTIF('Season 6'!A:AAO, TRIM(A8)), COUNTIF('Season 6'!A:AAO, TRIM(A8) &amp; " (Defending)"), COUNTIF('Season 6'!A:AAO, TRIM(A8) &amp; " (PL)"), COUNTIF('Season 6'!A:AAO, TRIM(A8) &amp; " (PL) (Defending)"))</f>
        <v>6</v>
      </c>
    </row>
    <row r="9" spans="1:3">
      <c r="A9" t="s">
        <v>84</v>
      </c>
      <c r="B9" s="15">
        <f>COUNTIF('Season 6'!A:AAO, CONCATENATE(TRIM(A9), " ","-"," ","W*"))</f>
        <v>14</v>
      </c>
      <c r="C9" s="16">
        <f>SUM(COUNTIF('Season 6'!A:AAO, TRIM(A9)), COUNTIF('Season 6'!A:AAO, TRIM(A9) &amp; " (Defending)"), COUNTIF('Season 6'!A:AAO, TRIM(A9) &amp; " (PL)"), COUNTIF('Season 6'!A:AAO, TRIM(A9) &amp; " (PL) (Defending)"))</f>
        <v>14</v>
      </c>
    </row>
    <row r="10" spans="1:3">
      <c r="A10" t="s">
        <v>14</v>
      </c>
      <c r="B10" s="15">
        <f>COUNTIF('Season 6'!A:AAO, CONCATENATE(TRIM(A10), " ","-"," ","W*"))</f>
        <v>13</v>
      </c>
      <c r="C10" s="16">
        <f>SUM(COUNTIF('Season 6'!A:AAO, TRIM(A10)), COUNTIF('Season 6'!A:AAO, TRIM(A10) &amp; " (Defending)"), COUNTIF('Season 6'!A:AAO, TRIM(A10) &amp; " (PL)"), COUNTIF('Season 6'!A:AAO, TRIM(A10) &amp; " (PL) (Defending)"))</f>
        <v>9</v>
      </c>
    </row>
    <row r="11" spans="1:3">
      <c r="A11" t="s">
        <v>49</v>
      </c>
      <c r="B11" s="15">
        <f>COUNTIF('Season 6'!A:AAO, CONCATENATE(TRIM(A11), " ","-"," ","W*"))</f>
        <v>12</v>
      </c>
      <c r="C11" s="16">
        <f>SUM(COUNTIF('Season 6'!A:AAO, TRIM(A11)), COUNTIF('Season 6'!A:AAO, TRIM(A11) &amp; " (Defending)"), COUNTIF('Season 6'!A:AAO, TRIM(A11) &amp; " (PL)"), COUNTIF('Season 6'!A:AAO, TRIM(A11) &amp; " (PL) (Defending)"))</f>
        <v>14</v>
      </c>
    </row>
    <row r="12" spans="1:3">
      <c r="A12" t="s">
        <v>52</v>
      </c>
      <c r="B12" s="15">
        <f>COUNTIF('Season 6'!A:AAO, CONCATENATE(TRIM(A12), " ","-"," ","W*"))</f>
        <v>10</v>
      </c>
      <c r="C12" s="16">
        <f>SUM(COUNTIF('Season 6'!A:AAO, TRIM(A12)), COUNTIF('Season 6'!A:AAO, TRIM(A12) &amp; " (Defending)"), COUNTIF('Season 6'!A:AAO, TRIM(A12) &amp; " (PL)"), COUNTIF('Season 6'!A:AAO, TRIM(A12) &amp; " (PL) (Defending)"))</f>
        <v>14</v>
      </c>
    </row>
    <row r="13" spans="1:3">
      <c r="A13" t="s">
        <v>542</v>
      </c>
      <c r="B13" s="15">
        <f>COUNTIF('Season 6'!A:AAO, CONCATENATE(TRIM(A13), " ","-"," ","W*"))</f>
        <v>10</v>
      </c>
      <c r="C13" s="16">
        <f>SUM(COUNTIF('Season 6'!A:AAO, TRIM(A13)), COUNTIF('Season 6'!A:AAO, TRIM(A13) &amp; " (Defending)"), COUNTIF('Season 6'!A:AAO, TRIM(A13) &amp; " (PL)"), COUNTIF('Season 6'!A:AAO, TRIM(A13) &amp; " (PL) (Defending)"))</f>
        <v>13</v>
      </c>
    </row>
    <row r="14" spans="1:3">
      <c r="A14" t="s">
        <v>36</v>
      </c>
      <c r="B14" s="15">
        <f>COUNTIF('Season 6'!A:AAO, CONCATENATE(TRIM(A14), " ","-"," ","W*"))</f>
        <v>9</v>
      </c>
      <c r="C14" s="16">
        <f>SUM(COUNTIF('Season 6'!A:AAO, TRIM(A14)), COUNTIF('Season 6'!A:AAO, TRIM(A14) &amp; " (Defending)"), COUNTIF('Season 6'!A:AAO, TRIM(A14) &amp; " (PL)"), COUNTIF('Season 6'!A:AAO, TRIM(A14) &amp; " (PL) (Defending)"))</f>
        <v>12</v>
      </c>
    </row>
    <row r="15" spans="1:3">
      <c r="A15" t="s">
        <v>20</v>
      </c>
      <c r="B15" s="15">
        <f>COUNTIF('Season 6'!A:AAO, CONCATENATE(TRIM(A15), " ","-"," ","W*"))</f>
        <v>8</v>
      </c>
      <c r="C15" s="16">
        <f>SUM(COUNTIF('Season 6'!A:AAO, TRIM(A15)), COUNTIF('Season 6'!A:AAO, TRIM(A15) &amp; " (Defending)"), COUNTIF('Season 6'!A:AAO, TRIM(A15) &amp; " (PL)"), COUNTIF('Season 6'!A:AAO, TRIM(A15) &amp; " (PL) (Defending)"))</f>
        <v>11</v>
      </c>
    </row>
    <row r="16" spans="1:3">
      <c r="A16" t="s">
        <v>13</v>
      </c>
      <c r="B16" s="15">
        <f>COUNTIF('Season 6'!A:AAO, CONCATENATE(TRIM(A16), " ","-"," ","W*"))</f>
        <v>8</v>
      </c>
      <c r="C16" s="16">
        <f>SUM(COUNTIF('Season 6'!A:AAO, TRIM(A16)), COUNTIF('Season 6'!A:AAO, TRIM(A16) &amp; " (Defending)"), COUNTIF('Season 6'!A:AAO, TRIM(A16) &amp; " (PL)"), COUNTIF('Season 6'!A:AAO, TRIM(A16) &amp; " (PL) (Defending)"))</f>
        <v>10</v>
      </c>
    </row>
    <row r="17" spans="1:3">
      <c r="A17" t="s">
        <v>4</v>
      </c>
      <c r="B17" s="15">
        <f>COUNTIF('Season 6'!A:AAO, CONCATENATE(TRIM(A17), " ","-"," ","W*"))</f>
        <v>6</v>
      </c>
      <c r="C17" s="16">
        <f>SUM(COUNTIF('Season 6'!A:AAO, TRIM(A17)), COUNTIF('Season 6'!A:AAO, TRIM(A17) &amp; " (Defending)"), COUNTIF('Season 6'!A:AAO, TRIM(A17) &amp; " (PL)"), COUNTIF('Season 6'!A:AAO, TRIM(A17) &amp; " (PL) (Defending)"))</f>
        <v>14</v>
      </c>
    </row>
    <row r="18" spans="1:3">
      <c r="A18" t="s">
        <v>57</v>
      </c>
      <c r="B18" s="15">
        <f>COUNTIF('Season 6'!A:AAO, CONCATENATE(TRIM(A18), " ","-"," ","W*"))</f>
        <v>6</v>
      </c>
      <c r="C18" s="16">
        <f>SUM(COUNTIF('Season 6'!A:AAO, TRIM(A18)), COUNTIF('Season 6'!A:AAO, TRIM(A18) &amp; " (Defending)"), COUNTIF('Season 6'!A:AAO, TRIM(A18) &amp; " (PL)"), COUNTIF('Season 6'!A:AAO, TRIM(A18) &amp; " (PL) (Defending)"))</f>
        <v>11</v>
      </c>
    </row>
    <row r="19" spans="1:3">
      <c r="A19" t="s">
        <v>48</v>
      </c>
      <c r="B19" s="15">
        <f>COUNTIF('Season 6'!A:AAO, CONCATENATE(TRIM(A19), " ","-"," ","W*"))</f>
        <v>5</v>
      </c>
      <c r="C19" s="16">
        <f>SUM(COUNTIF('Season 6'!A:AAO, TRIM(A19)), COUNTIF('Season 6'!A:AAO, TRIM(A19) &amp; " (Defending)"), COUNTIF('Season 6'!A:AAO, TRIM(A19) &amp; " (PL)"), COUNTIF('Season 6'!A:AAO, TRIM(A19) &amp; " (PL) (Defending)"))</f>
        <v>9</v>
      </c>
    </row>
    <row r="20" spans="1:3">
      <c r="A20" t="s">
        <v>54</v>
      </c>
      <c r="B20" s="15">
        <f>COUNTIF('Season 6'!A:AAO, CONCATENATE(TRIM(A20), " ","-"," ","W*"))</f>
        <v>4</v>
      </c>
      <c r="C20" s="16">
        <f>SUM(COUNTIF('Season 6'!A:AAO, TRIM(A20)), COUNTIF('Season 6'!A:AAO, TRIM(A20) &amp; " (Defending)"), COUNTIF('Season 6'!A:AAO, TRIM(A20) &amp; " (PL)"), COUNTIF('Season 6'!A:AAO, TRIM(A20) &amp; " (PL) (Defending)"))</f>
        <v>15</v>
      </c>
    </row>
    <row r="21" spans="1:3">
      <c r="A21" t="s">
        <v>40</v>
      </c>
      <c r="B21" s="15">
        <f>COUNTIF('Season 6'!A:AAO, CONCATENATE(TRIM(A21), " ","-"," ","W*"))</f>
        <v>3</v>
      </c>
      <c r="C21" s="16">
        <f>SUM(COUNTIF('Season 6'!A:AAO, TRIM(A21)), COUNTIF('Season 6'!A:AAO, TRIM(A21) &amp; " (Defending)"), COUNTIF('Season 6'!A:AAO, TRIM(A21) &amp; " (PL)"), COUNTIF('Season 6'!A:AAO, TRIM(A21) &amp; " (PL) (Defending)"))</f>
        <v>11</v>
      </c>
    </row>
    <row r="22" spans="1:3">
      <c r="A22" t="s">
        <v>23</v>
      </c>
      <c r="B22" s="15">
        <f>COUNTIF('Season 6'!A:AAO, CONCATENATE(TRIM(A22), " ","-"," ","W*"))</f>
        <v>3</v>
      </c>
      <c r="C22" s="16">
        <f>SUM(COUNTIF('Season 6'!A:AAO, TRIM(A22)), COUNTIF('Season 6'!A:AAO, TRIM(A22) &amp; " (Defending)"), COUNTIF('Season 6'!A:AAO, TRIM(A22) &amp; " (PL)"), COUNTIF('Season 6'!A:AAO, TRIM(A22) &amp; " (PL) (Defending)"))</f>
        <v>10</v>
      </c>
    </row>
    <row r="23" spans="1:3">
      <c r="A23" t="s">
        <v>22</v>
      </c>
      <c r="B23" s="15">
        <f>COUNTIF('Season 6'!A:AAO, CONCATENATE(TRIM(A23), " ","-"," ","W*"))</f>
        <v>2</v>
      </c>
      <c r="C23" s="16">
        <f>SUM(COUNTIF('Season 6'!A:AAO, TRIM(A23)), COUNTIF('Season 6'!A:AAO, TRIM(A23) &amp; " (Defending)"), COUNTIF('Season 6'!A:AAO, TRIM(A23) &amp; " (PL)"), COUNTIF('Season 6'!A:AAO, TRIM(A23) &amp; " (PL) (Defending)"))</f>
        <v>13</v>
      </c>
    </row>
    <row r="24" spans="1:3">
      <c r="A24" t="s">
        <v>291</v>
      </c>
      <c r="B24" s="15">
        <f>COUNTIF('Season 6'!A:AAO, CONCATENATE(TRIM(A24), " ","-"," ","W*"))</f>
        <v>2</v>
      </c>
      <c r="C24" s="16">
        <f>SUM(COUNTIF('Season 6'!A:AAO, TRIM(A24)), COUNTIF('Season 6'!A:AAO, TRIM(A24) &amp; " (Defending)"), COUNTIF('Season 6'!A:AAO, TRIM(A24) &amp; " (PL)"), COUNTIF('Season 6'!A:AAO, TRIM(A24) &amp; " (PL) (Defending)"))</f>
        <v>10</v>
      </c>
    </row>
    <row r="25" spans="1:3">
      <c r="A25" t="s">
        <v>445</v>
      </c>
      <c r="B25" s="15">
        <f>COUNTIF('Season 6'!A:AAO, CONCATENATE(TRIM(A25), " ","-"," ","W*"))</f>
        <v>1</v>
      </c>
      <c r="C25" s="16">
        <f>SUM(COUNTIF('Season 6'!A:AAO, TRIM(A25)), COUNTIF('Season 6'!A:AAO, TRIM(A25) &amp; " (Defending)"), COUNTIF('Season 6'!A:AAO, TRIM(A25) &amp; " (PL)"), COUNTIF('Season 6'!A:AAO, TRIM(A25) &amp; " (PL) (Defending)"))</f>
        <v>11</v>
      </c>
    </row>
    <row r="27" spans="1:3">
      <c r="A27" t="s">
        <v>85</v>
      </c>
      <c r="B27" s="13" t="s">
        <v>79</v>
      </c>
      <c r="C27" s="14" t="s">
        <v>80</v>
      </c>
    </row>
    <row r="28" spans="1:3">
      <c r="A28" t="s">
        <v>3</v>
      </c>
      <c r="B28" s="15">
        <f>COUNTIF('Season 6'!A:AAO, CONCATENATE(TRIM(A28), " ","-"," ","W*"))</f>
        <v>22</v>
      </c>
      <c r="C28" s="16">
        <f>SUM(COUNTIF('Season 6'!A:AAO, TRIM(A28)), COUNTIF('Season 6'!A:AAO, TRIM(A28) &amp; " (Defending)"), COUNTIF('Season 6'!A:AAO, TRIM(A28)&amp; " (PL)"), COUNTIF('Season 6'!A:AAO, TRIM(A28) &amp; " (PL) (Defending)"))</f>
        <v>5</v>
      </c>
    </row>
    <row r="29" spans="1:3">
      <c r="A29" t="s">
        <v>532</v>
      </c>
      <c r="B29" s="15">
        <f>COUNTIF('Season 6'!A:AAO, CONCATENATE(TRIM(A29), " ","-"," ","W*"))</f>
        <v>19</v>
      </c>
      <c r="C29" s="16">
        <f>SUM(COUNTIF('Season 6'!A:AAO, TRIM(A29)), COUNTIF('Season 6'!A:AAO, TRIM(A29) &amp; " (Defending)"), COUNTIF('Season 6'!A:AAO, TRIM(A29)&amp; " (PL)"), COUNTIF('Season 6'!A:AAO, TRIM(A29) &amp; " (PL) (Defending)"))</f>
        <v>4</v>
      </c>
    </row>
    <row r="30" spans="1:3">
      <c r="A30" t="s">
        <v>77</v>
      </c>
      <c r="B30" s="15">
        <f>COUNTIF('Season 6'!A:AAO, CONCATENATE(TRIM(A30), " ","-"," ","W*"))</f>
        <v>17</v>
      </c>
      <c r="C30" s="16">
        <f>SUM(COUNTIF('Season 6'!A:AAO, TRIM(A30)), COUNTIF('Season 6'!A:AAO, TRIM(A30) &amp; " (Defending)"), COUNTIF('Season 6'!A:AAO, TRIM(A30)&amp; " (PL)"), COUNTIF('Season 6'!A:AAO, TRIM(A30) &amp; " (PL) (Defending)"))</f>
        <v>11</v>
      </c>
    </row>
    <row r="31" spans="1:3">
      <c r="A31" t="s">
        <v>24</v>
      </c>
      <c r="B31" s="15">
        <f>COUNTIF('Season 6'!A:AAO, CONCATENATE(TRIM(A31), " ","-"," ","W*"))</f>
        <v>16</v>
      </c>
      <c r="C31" s="16">
        <f>SUM(COUNTIF('Season 6'!A:AAO, TRIM(A31)), COUNTIF('Season 6'!A:AAO, TRIM(A31) &amp; " (Defending)"), COUNTIF('Season 6'!A:AAO, TRIM(A31)&amp; " (PL)"), COUNTIF('Season 6'!A:AAO, TRIM(A31) &amp; " (PL) (Defending)"))</f>
        <v>9</v>
      </c>
    </row>
    <row r="32" spans="1:3">
      <c r="A32" t="s">
        <v>67</v>
      </c>
      <c r="B32" s="15">
        <f>COUNTIF('Season 6'!A:AAO, CONCATENATE(TRIM(A32), " ","-"," ","W*"))</f>
        <v>16</v>
      </c>
      <c r="C32" s="16">
        <f>SUM(COUNTIF('Season 6'!A:AAO, TRIM(A32)), COUNTIF('Season 6'!A:AAO, TRIM(A32) &amp; " (Defending)"), COUNTIF('Season 6'!A:AAO, TRIM(A32)&amp; " (PL)"), COUNTIF('Season 6'!A:AAO, TRIM(A32) &amp; " (PL) (Defending)"))</f>
        <v>12</v>
      </c>
    </row>
    <row r="33" spans="1:3">
      <c r="A33" t="s">
        <v>64</v>
      </c>
      <c r="B33" s="15">
        <f>COUNTIF('Season 6'!A:AAO, CONCATENATE(TRIM(A33), " ","-"," ","W*"))</f>
        <v>16</v>
      </c>
      <c r="C33" s="16">
        <f>SUM(COUNTIF('Season 6'!A:AAO, TRIM(A33)), COUNTIF('Season 6'!A:AAO, TRIM(A33) &amp; " (Defending)"), COUNTIF('Season 6'!A:AAO, TRIM(A33)&amp; " (PL)"), COUNTIF('Season 6'!A:AAO, TRIM(A33) &amp; " (PL) (Defending)"))</f>
        <v>13</v>
      </c>
    </row>
    <row r="34" spans="1:3">
      <c r="A34" t="s">
        <v>17</v>
      </c>
      <c r="B34" s="15">
        <f>COUNTIF('Season 6'!A:AAO, CONCATENATE(TRIM(A34), " ","-"," ","W*"))</f>
        <v>15</v>
      </c>
      <c r="C34" s="16">
        <f>SUM(COUNTIF('Season 6'!A:AAO, TRIM(A34)), COUNTIF('Season 6'!A:AAO, TRIM(A34) &amp; " (Defending)"), COUNTIF('Season 6'!A:AAO, TRIM(A34)&amp; " (PL)"), COUNTIF('Season 6'!A:AAO, TRIM(A34) &amp; " (PL) (Defending)"))</f>
        <v>17</v>
      </c>
    </row>
    <row r="35" spans="1:3">
      <c r="A35" t="s">
        <v>82</v>
      </c>
      <c r="B35" s="15">
        <f>COUNTIF('Season 6'!A:AAO, CONCATENATE(TRIM(A35), " ","-"," ","W*"))</f>
        <v>12</v>
      </c>
      <c r="C35" s="16">
        <f>SUM(COUNTIF('Season 6'!A:AAO, TRIM(A35)), COUNTIF('Season 6'!A:AAO, TRIM(A35) &amp; " (Defending)"), COUNTIF('Season 6'!A:AAO, TRIM(A35)&amp; " (PL)"), COUNTIF('Season 6'!A:AAO, TRIM(A35) &amp; " (PL) (Defending)"))</f>
        <v>12</v>
      </c>
    </row>
    <row r="36" spans="1:3">
      <c r="A36" t="s">
        <v>37</v>
      </c>
      <c r="B36" s="15">
        <f>COUNTIF('Season 6'!A:AAO, CONCATENATE(TRIM(A36), " ","-"," ","W*"))</f>
        <v>11</v>
      </c>
      <c r="C36" s="16">
        <f>SUM(COUNTIF('Season 6'!A:AAO, TRIM(A36)), COUNTIF('Season 6'!A:AAO, TRIM(A36) &amp; " (Defending)"), COUNTIF('Season 6'!A:AAO, TRIM(A36)&amp; " (PL)"), COUNTIF('Season 6'!A:AAO, TRIM(A36) &amp; " (PL) (Defending)"))</f>
        <v>15</v>
      </c>
    </row>
    <row r="37" spans="1:3">
      <c r="A37" t="s">
        <v>50</v>
      </c>
      <c r="B37" s="15">
        <f>COUNTIF('Season 6'!A:AAO, CONCATENATE(TRIM(A37), " ","-"," ","W*"))</f>
        <v>11</v>
      </c>
      <c r="C37" s="16">
        <f>SUM(COUNTIF('Season 6'!A:AAO, TRIM(A37)), COUNTIF('Season 6'!A:AAO, TRIM(A37) &amp; " (Defending)"), COUNTIF('Season 6'!A:AAO, TRIM(A37)&amp; " (PL)"), COUNTIF('Season 6'!A:AAO, TRIM(A37) &amp; " (PL) (Defending)"))</f>
        <v>9</v>
      </c>
    </row>
    <row r="38" spans="1:3">
      <c r="A38" t="s">
        <v>16</v>
      </c>
      <c r="B38" s="15">
        <f>COUNTIF('Season 6'!A:AAO, CONCATENATE(TRIM(A38), " ","-"," ","W*"))</f>
        <v>10</v>
      </c>
      <c r="C38" s="16">
        <f>SUM(COUNTIF('Season 6'!A:AAO, TRIM(A38)), COUNTIF('Season 6'!A:AAO, TRIM(A38) &amp; " (Defending)"), COUNTIF('Season 6'!A:AAO, TRIM(A38)&amp; " (PL)"), COUNTIF('Season 6'!A:AAO, TRIM(A38) &amp; " (PL) (Defending)"))</f>
        <v>12</v>
      </c>
    </row>
    <row r="39" spans="1:3">
      <c r="A39" t="s">
        <v>55</v>
      </c>
      <c r="B39" s="15">
        <f>COUNTIF('Season 6'!A:AAO, CONCATENATE(TRIM(A39), " ","-"," ","W*"))</f>
        <v>10</v>
      </c>
      <c r="C39" s="16">
        <f>SUM(COUNTIF('Season 6'!A:AAO, TRIM(A39)), COUNTIF('Season 6'!A:AAO, TRIM(A39) &amp; " (Defending)"), COUNTIF('Season 6'!A:AAO, TRIM(A39)&amp; " (PL)"), COUNTIF('Season 6'!A:AAO, TRIM(A39) &amp; " (PL) (Defending)"))</f>
        <v>11</v>
      </c>
    </row>
    <row r="40" spans="1:3">
      <c r="A40" t="s">
        <v>2</v>
      </c>
      <c r="B40" s="15">
        <f>COUNTIF('Season 6'!A:AAO, CONCATENATE(TRIM(A40), " ","-"," ","W*"))</f>
        <v>10</v>
      </c>
      <c r="C40" s="16">
        <f>SUM(COUNTIF('Season 6'!A:AAO, TRIM(A40)), COUNTIF('Season 6'!A:AAO, TRIM(A40) &amp; " (Defending)"), COUNTIF('Season 6'!A:AAO, TRIM(A40)&amp; " (PL)"), COUNTIF('Season 6'!A:AAO, TRIM(A40) &amp; " (PL) (Defending)"))</f>
        <v>17</v>
      </c>
    </row>
    <row r="41" spans="1:3">
      <c r="A41" t="s">
        <v>58</v>
      </c>
      <c r="B41" s="15">
        <f>COUNTIF('Season 6'!A:AAO, CONCATENATE(TRIM(A41), " ","-"," ","W*"))</f>
        <v>9</v>
      </c>
      <c r="C41" s="16">
        <f>SUM(COUNTIF('Season 6'!A:AAO, TRIM(A41)), COUNTIF('Season 6'!A:AAO, TRIM(A41) &amp; " (Defending)"), COUNTIF('Season 6'!A:AAO, TRIM(A41)&amp; " (PL)"), COUNTIF('Season 6'!A:AAO, TRIM(A41) &amp; " (PL) (Defending)"))</f>
        <v>11</v>
      </c>
    </row>
    <row r="42" spans="1:3">
      <c r="A42" t="s">
        <v>39</v>
      </c>
      <c r="B42" s="15">
        <f>COUNTIF('Season 6'!A:AAO, CONCATENATE(TRIM(A42), " ","-"," ","W*"))</f>
        <v>8</v>
      </c>
      <c r="C42" s="16">
        <f>SUM(COUNTIF('Season 6'!A:AAO, TRIM(A42)), COUNTIF('Season 6'!A:AAO, TRIM(A42) &amp; " (Defending)"), COUNTIF('Season 6'!A:AAO, TRIM(A42)&amp; " (PL)"), COUNTIF('Season 6'!A:AAO, TRIM(A42) &amp; " (PL) (Defending)"))</f>
        <v>15</v>
      </c>
    </row>
    <row r="43" spans="1:3">
      <c r="A43" t="s">
        <v>41</v>
      </c>
      <c r="B43" s="15">
        <f>COUNTIF('Season 6'!A:AAO, CONCATENATE(TRIM(A43), " ","-"," ","W*"))</f>
        <v>8</v>
      </c>
      <c r="C43" s="16">
        <f>SUM(COUNTIF('Season 6'!A:AAO, TRIM(A43)), COUNTIF('Season 6'!A:AAO, TRIM(A43) &amp; " (Defending)"), COUNTIF('Season 6'!A:AAO, TRIM(A43)&amp; " (PL)"), COUNTIF('Season 6'!A:AAO, TRIM(A43) &amp; " (PL) (Defending)"))</f>
        <v>9</v>
      </c>
    </row>
    <row r="44" spans="1:3">
      <c r="A44" t="s">
        <v>446</v>
      </c>
      <c r="B44" s="15">
        <f>COUNTIF('Season 6'!A:AAO, CONCATENATE(TRIM(A44), " ","-"," ","W*"))</f>
        <v>7</v>
      </c>
      <c r="C44" s="16">
        <f>SUM(COUNTIF('Season 6'!A:AAO, TRIM(A44)), COUNTIF('Season 6'!A:AAO, TRIM(A44) &amp; " (Defending)"), COUNTIF('Season 6'!A:AAO, TRIM(A44)&amp; " (PL)"), COUNTIF('Season 6'!A:AAO, TRIM(A44) &amp; " (PL) (Defending)"))</f>
        <v>17</v>
      </c>
    </row>
    <row r="45" spans="1:3">
      <c r="A45" t="s">
        <v>1</v>
      </c>
      <c r="B45" s="15">
        <f>COUNTIF('Season 6'!A:AAO, CONCATENATE(TRIM(A45), " ","-"," ","W*"))</f>
        <v>6</v>
      </c>
      <c r="C45" s="16">
        <f>SUM(COUNTIF('Season 6'!A:AAO, TRIM(A45)), COUNTIF('Season 6'!A:AAO, TRIM(A45) &amp; " (Defending)"), COUNTIF('Season 6'!A:AAO, TRIM(A45)&amp; " (PL)"), COUNTIF('Season 6'!A:AAO, TRIM(A45) &amp; " (PL) (Defending)"))</f>
        <v>16</v>
      </c>
    </row>
    <row r="46" spans="1:3">
      <c r="A46" t="s">
        <v>326</v>
      </c>
      <c r="B46" s="15">
        <f>COUNTIF('Season 6'!A:AAO, CONCATENATE(TRIM(A46), " ","-"," ","W*"))</f>
        <v>5</v>
      </c>
      <c r="C46" s="16">
        <f>SUM(COUNTIF('Season 6'!A:AAO, TRIM(A46)), COUNTIF('Season 6'!A:AAO, TRIM(A46) &amp; " (Defending)"), COUNTIF('Season 6'!A:AAO, TRIM(A46)&amp; " (PL)"), COUNTIF('Season 6'!A:AAO, TRIM(A46) &amp; " (PL) (Defending)"))</f>
        <v>9</v>
      </c>
    </row>
    <row r="47" spans="1:3">
      <c r="A47" t="s">
        <v>531</v>
      </c>
      <c r="B47" s="15">
        <f>COUNTIF('Season 6'!A:AAO, CONCATENATE(TRIM(A47), " ","-"," ","W*"))</f>
        <v>5</v>
      </c>
      <c r="C47" s="16">
        <f>SUM(COUNTIF('Season 6'!A:AAO, TRIM(A47)), COUNTIF('Season 6'!A:AAO, TRIM(A47) &amp; " (Defending)"), COUNTIF('Season 6'!A:AAO, TRIM(A47)&amp; " (PL)"), COUNTIF('Season 6'!A:AAO, TRIM(A47) &amp; " (PL) (Defending)"))</f>
        <v>17</v>
      </c>
    </row>
    <row r="48" spans="1:3">
      <c r="A48" t="s">
        <v>62</v>
      </c>
      <c r="B48" s="15">
        <f>COUNTIF('Season 6'!A:AAO, CONCATENATE(TRIM(A48), " ","-"," ","W*"))</f>
        <v>3</v>
      </c>
      <c r="C48" s="16">
        <f>SUM(COUNTIF('Season 6'!A:AAO, TRIM(A48)), COUNTIF('Season 6'!A:AAO, TRIM(A48) &amp; " (Defending)"), COUNTIF('Season 6'!A:AAO, TRIM(A48)&amp; " (PL)"), COUNTIF('Season 6'!A:AAO, TRIM(A48) &amp; " (PL) (Defending)"))</f>
        <v>12</v>
      </c>
    </row>
    <row r="49" spans="1:3">
      <c r="A49" t="s">
        <v>15</v>
      </c>
      <c r="B49" s="15">
        <f>COUNTIF('Season 6'!A:AAO, CONCATENATE(TRIM(A49), " ","-"," ","W*"))</f>
        <v>2</v>
      </c>
      <c r="C49" s="16">
        <f>SUM(COUNTIF('Season 6'!A:AAO, TRIM(A49)), COUNTIF('Season 6'!A:AAO, TRIM(A49) &amp; " (Defending)"), COUNTIF('Season 6'!A:AAO, TRIM(A49)&amp; " (PL)"), COUNTIF('Season 6'!A:AAO, TRIM(A49) &amp; " (PL) (Defending)"))</f>
        <v>13</v>
      </c>
    </row>
    <row r="50" spans="1:3">
      <c r="A50" t="s">
        <v>10</v>
      </c>
      <c r="B50" s="15">
        <f>COUNTIF('Season 6'!A:AAO, CONCATENATE(TRIM(A50), " ","-"," ","W*"))</f>
        <v>1</v>
      </c>
      <c r="C50" s="16">
        <f>SUM(COUNTIF('Season 6'!A:AAO, TRIM(A50)), COUNTIF('Season 6'!A:AAO, TRIM(A50) &amp; " (Defending)"), COUNTIF('Season 6'!A:AAO, TRIM(A50)&amp; " (PL)"), COUNTIF('Season 6'!A:AAO, TRIM(A50) &amp; " (PL) (Defending)"))</f>
        <v>14</v>
      </c>
    </row>
    <row r="52" spans="1:3">
      <c r="A52" t="s">
        <v>428</v>
      </c>
      <c r="B52" s="13" t="s">
        <v>79</v>
      </c>
      <c r="C52" s="14" t="s">
        <v>80</v>
      </c>
    </row>
    <row r="53" spans="1:3">
      <c r="A53" s="51" t="s">
        <v>46</v>
      </c>
      <c r="B53" s="15">
        <f>COUNTIF('Season 6'!A:AAO, CONCATENATE(TRIM(A53), " ","-"," ","W*"))</f>
        <v>24</v>
      </c>
      <c r="C53" s="16">
        <f>SUM(COUNTIF('Season 6'!A:AAO, TRIM(A53)), COUNTIF('Season 6'!A:AAO, TRIM(A53) &amp; " (Defending)"), COUNTIF('Season 6'!A:AAO, TRIM(A53) &amp; " (PL)"), COUNTIF('Season 6'!A:AAO, TRIM(A53) &amp; " (PL) (Defending)"))</f>
        <v>6</v>
      </c>
    </row>
    <row r="54" spans="1:3">
      <c r="A54" s="51" t="s">
        <v>61</v>
      </c>
      <c r="B54" s="15">
        <f>COUNTIF('Season 6'!A:AAO, CONCATENATE(TRIM(A54), " ","-"," ","W*"))</f>
        <v>19</v>
      </c>
      <c r="C54" s="16">
        <f>SUM(COUNTIF('Season 6'!A:AAO, TRIM(A54)), COUNTIF('Season 6'!A:AAO, TRIM(A54) &amp; " (Defending)"), COUNTIF('Season 6'!A:AAO, TRIM(A54) &amp; " (PL)"), COUNTIF('Season 6'!A:AAO, TRIM(A54) &amp; " (PL) (Defending)"))</f>
        <v>10</v>
      </c>
    </row>
    <row r="55" spans="1:3">
      <c r="A55" s="51" t="s">
        <v>63</v>
      </c>
      <c r="B55" s="15">
        <f>COUNTIF('Season 6'!A:AAO, CONCATENATE(TRIM(A55), " ","-"," ","W*"))</f>
        <v>19</v>
      </c>
      <c r="C55" s="16">
        <f>SUM(COUNTIF('Season 6'!A:AAO, TRIM(A55)), COUNTIF('Season 6'!A:AAO, TRIM(A55) &amp; " (Defending)"), COUNTIF('Season 6'!A:AAO, TRIM(A55) &amp; " (PL)"), COUNTIF('Season 6'!A:AAO, TRIM(A55) &amp; " (PL) (Defending)"))</f>
        <v>9</v>
      </c>
    </row>
    <row r="56" spans="1:3">
      <c r="A56" s="51" t="s">
        <v>65</v>
      </c>
      <c r="B56" s="15">
        <f>COUNTIF('Season 6'!A:AAO, CONCATENATE(TRIM(A56), " ","-"," ","W*"))</f>
        <v>19</v>
      </c>
      <c r="C56" s="16">
        <f>SUM(COUNTIF('Season 6'!A:AAO, TRIM(A56)), COUNTIF('Season 6'!A:AAO, TRIM(A56) &amp; " (Defending)"), COUNTIF('Season 6'!A:AAO, TRIM(A56) &amp; " (PL)"), COUNTIF('Season 6'!A:AAO, TRIM(A56) &amp; " (PL) (Defending)"))</f>
        <v>7</v>
      </c>
    </row>
    <row r="57" spans="1:3">
      <c r="A57" s="51" t="s">
        <v>59</v>
      </c>
      <c r="B57" s="15">
        <f>COUNTIF('Season 6'!A:AAO, CONCATENATE(TRIM(A57), " ","-"," ","W*"))</f>
        <v>17</v>
      </c>
      <c r="C57" s="16">
        <f>SUM(COUNTIF('Season 6'!A:AAO, TRIM(A57)), COUNTIF('Season 6'!A:AAO, TRIM(A57) &amp; " (Defending)"), COUNTIF('Season 6'!A:AAO, TRIM(A57) &amp; " (PL)"), COUNTIF('Season 6'!A:AAO, TRIM(A57) &amp; " (PL) (Defending)"))</f>
        <v>8</v>
      </c>
    </row>
    <row r="58" spans="1:3">
      <c r="A58" s="51" t="s">
        <v>60</v>
      </c>
      <c r="B58" s="15">
        <f>COUNTIF('Season 6'!A:AAO, CONCATENATE(TRIM(A58), " ","-"," ","W*"))</f>
        <v>16</v>
      </c>
      <c r="C58" s="16">
        <f>SUM(COUNTIF('Season 6'!A:AAO, TRIM(A58)), COUNTIF('Season 6'!A:AAO, TRIM(A58) &amp; " (Defending)"), COUNTIF('Season 6'!A:AAO, TRIM(A58) &amp; " (PL)"), COUNTIF('Season 6'!A:AAO, TRIM(A58) &amp; " (PL) (Defending)"))</f>
        <v>12</v>
      </c>
    </row>
    <row r="59" spans="1:3">
      <c r="A59" s="51" t="s">
        <v>53</v>
      </c>
      <c r="B59" s="15">
        <f>COUNTIF('Season 6'!A:AAO, CONCATENATE(TRIM(A59), " ","-"," ","W*"))</f>
        <v>15</v>
      </c>
      <c r="C59" s="16">
        <f>SUM(COUNTIF('Season 6'!A:AAO, TRIM(A59)), COUNTIF('Season 6'!A:AAO, TRIM(A59) &amp; " (Defending)"), COUNTIF('Season 6'!A:AAO, TRIM(A59) &amp; " (PL)"), COUNTIF('Season 6'!A:AAO, TRIM(A59) &amp; " (PL) (Defending)"))</f>
        <v>10</v>
      </c>
    </row>
    <row r="60" spans="1:3">
      <c r="A60" s="51" t="s">
        <v>43</v>
      </c>
      <c r="B60" s="15">
        <f>COUNTIF('Season 6'!A:AAO, CONCATENATE(TRIM(A60), " ","-"," ","W*"))</f>
        <v>13</v>
      </c>
      <c r="C60" s="16">
        <f>SUM(COUNTIF('Season 6'!A:AAO, TRIM(A60)), COUNTIF('Season 6'!A:AAO, TRIM(A60) &amp; " (Defending)"), COUNTIF('Season 6'!A:AAO, TRIM(A60) &amp; " (PL)"), COUNTIF('Season 6'!A:AAO, TRIM(A60) &amp; " (PL) (Defending)"))</f>
        <v>10</v>
      </c>
    </row>
    <row r="61" spans="1:3">
      <c r="A61" s="51" t="s">
        <v>8</v>
      </c>
      <c r="B61" s="15">
        <f>COUNTIF('Season 6'!A:AAO, CONCATENATE(TRIM(A61), " ","-"," ","W*"))</f>
        <v>13</v>
      </c>
      <c r="C61" s="16">
        <f>SUM(COUNTIF('Season 6'!A:AAO, TRIM(A61)), COUNTIF('Season 6'!A:AAO, TRIM(A61) &amp; " (Defending)"), COUNTIF('Season 6'!A:AAO, TRIM(A61) &amp; " (PL)"), COUNTIF('Season 6'!A:AAO, TRIM(A61) &amp; " (PL) (Defending)"))</f>
        <v>14</v>
      </c>
    </row>
    <row r="62" spans="1:3">
      <c r="A62" s="51" t="s">
        <v>19</v>
      </c>
      <c r="B62" s="15">
        <f>COUNTIF('Season 6'!A:AAO, CONCATENATE(TRIM(A62), " ","-"," ","W*"))</f>
        <v>13</v>
      </c>
      <c r="C62" s="16">
        <f>SUM(COUNTIF('Season 6'!A:AAO, TRIM(A62)), COUNTIF('Season 6'!A:AAO, TRIM(A62) &amp; " (Defending)"), COUNTIF('Season 6'!A:AAO, TRIM(A62) &amp; " (PL)"), COUNTIF('Season 6'!A:AAO, TRIM(A62) &amp; " (PL) (Defending)"))</f>
        <v>9</v>
      </c>
    </row>
    <row r="63" spans="1:3">
      <c r="A63" s="51" t="s">
        <v>7</v>
      </c>
      <c r="B63" s="15">
        <f>COUNTIF('Season 6'!A:AAO, CONCATENATE(TRIM(A63), " ","-"," ","W*"))</f>
        <v>12</v>
      </c>
      <c r="C63" s="16">
        <f>SUM(COUNTIF('Season 6'!A:AAO, TRIM(A63)), COUNTIF('Season 6'!A:AAO, TRIM(A63) &amp; " (Defending)"), COUNTIF('Season 6'!A:AAO, TRIM(A63) &amp; " (PL)"), COUNTIF('Season 6'!A:AAO, TRIM(A63) &amp; " (PL) (Defending)"))</f>
        <v>12</v>
      </c>
    </row>
    <row r="64" spans="1:3">
      <c r="A64" s="51" t="s">
        <v>12</v>
      </c>
      <c r="B64" s="15">
        <f>COUNTIF('Season 6'!A:AAO, CONCATENATE(TRIM(A64), " ","-"," ","W*"))</f>
        <v>11</v>
      </c>
      <c r="C64" s="16">
        <f>SUM(COUNTIF('Season 6'!A:AAO, TRIM(A64)), COUNTIF('Season 6'!A:AAO, TRIM(A64) &amp; " (Defending)"), COUNTIF('Season 6'!A:AAO, TRIM(A64) &amp; " (PL)"), COUNTIF('Season 6'!A:AAO, TRIM(A64) &amp; " (PL) (Defending)"))</f>
        <v>15</v>
      </c>
    </row>
    <row r="65" spans="1:3">
      <c r="A65" s="51" t="s">
        <v>290</v>
      </c>
      <c r="B65" s="15">
        <f>COUNTIF('Season 6'!A:AAO, CONCATENATE(TRIM(A65), " ","-"," ","W*"))</f>
        <v>11</v>
      </c>
      <c r="C65" s="16">
        <f>SUM(COUNTIF('Season 6'!A:AAO, TRIM(A65)), COUNTIF('Season 6'!A:AAO, TRIM(A65) &amp; " (Defending)"), COUNTIF('Season 6'!A:AAO, TRIM(A65) &amp; " (PL)"), COUNTIF('Season 6'!A:AAO, TRIM(A65) &amp; " (PL) (Defending)"))</f>
        <v>13</v>
      </c>
    </row>
    <row r="66" spans="1:3">
      <c r="A66" s="51" t="s">
        <v>11</v>
      </c>
      <c r="B66" s="15">
        <f>COUNTIF('Season 6'!A:AAO, CONCATENATE(TRIM(A66), " ","-"," ","W*"))</f>
        <v>9</v>
      </c>
      <c r="C66" s="16">
        <f>SUM(COUNTIF('Season 6'!A:AAO, TRIM(A66)), COUNTIF('Season 6'!A:AAO, TRIM(A66) &amp; " (Defending)"), COUNTIF('Season 6'!A:AAO, TRIM(A66) &amp; " (PL)"), COUNTIF('Season 6'!A:AAO, TRIM(A66) &amp; " (PL) (Defending)"))</f>
        <v>14</v>
      </c>
    </row>
    <row r="67" spans="1:3">
      <c r="A67" s="51" t="s">
        <v>78</v>
      </c>
      <c r="B67" s="15">
        <f>COUNTIF('Season 6'!A:AAO, CONCATENATE(TRIM(A67), " ","-"," ","W*"))</f>
        <v>9</v>
      </c>
      <c r="C67" s="16">
        <f>SUM(COUNTIF('Season 6'!A:AAO, TRIM(A67)), COUNTIF('Season 6'!A:AAO, TRIM(A67) &amp; " (Defending)"), COUNTIF('Season 6'!A:AAO, TRIM(A67) &amp; " (PL)"), COUNTIF('Season 6'!A:AAO, TRIM(A67) &amp; " (PL) (Defending)"))</f>
        <v>16</v>
      </c>
    </row>
    <row r="68" spans="1:3">
      <c r="A68" s="51" t="s">
        <v>6</v>
      </c>
      <c r="B68" s="15">
        <f>COUNTIF('Season 6'!A:AAO, CONCATENATE(TRIM(A68), " ","-"," ","W*"))</f>
        <v>8</v>
      </c>
      <c r="C68" s="16">
        <f>SUM(COUNTIF('Season 6'!A:AAO, TRIM(A68)), COUNTIF('Season 6'!A:AAO, TRIM(A68) &amp; " (Defending)"), COUNTIF('Season 6'!A:AAO, TRIM(A68) &amp; " (PL)"), COUNTIF('Season 6'!A:AAO, TRIM(A68) &amp; " (PL) (Defending)"))</f>
        <v>14</v>
      </c>
    </row>
    <row r="69" spans="1:3">
      <c r="A69" s="51" t="s">
        <v>5</v>
      </c>
      <c r="B69" s="15">
        <f>COUNTIF('Season 6'!A:AAO, CONCATENATE(TRIM(A69), " ","-"," ","W*"))</f>
        <v>8</v>
      </c>
      <c r="C69" s="16">
        <f>SUM(COUNTIF('Season 6'!A:AAO, TRIM(A69)), COUNTIF('Season 6'!A:AAO, TRIM(A69) &amp; " (Defending)"), COUNTIF('Season 6'!A:AAO, TRIM(A69) &amp; " (PL)"), COUNTIF('Season 6'!A:AAO, TRIM(A69) &amp; " (PL) (Defending)"))</f>
        <v>15</v>
      </c>
    </row>
    <row r="70" spans="1:3">
      <c r="A70" s="51" t="s">
        <v>533</v>
      </c>
      <c r="B70" s="15">
        <f>COUNTIF('Season 6'!A:AAO, CONCATENATE(TRIM(A70), " ","-"," ","W*"))</f>
        <v>7</v>
      </c>
      <c r="C70" s="16">
        <f>SUM(COUNTIF('Season 6'!A:AAO, TRIM(A70)), COUNTIF('Season 6'!A:AAO, TRIM(A70) &amp; " (Defending)"), COUNTIF('Season 6'!A:AAO, TRIM(A70) &amp; " (PL)"), COUNTIF('Season 6'!A:AAO, TRIM(A70) &amp; " (PL) (Defending)"))</f>
        <v>14</v>
      </c>
    </row>
    <row r="71" spans="1:3">
      <c r="A71" s="51" t="s">
        <v>66</v>
      </c>
      <c r="B71" s="15">
        <f>COUNTIF('Season 6'!A:AAO, CONCATENATE(TRIM(A71), " ","-"," ","W*"))</f>
        <v>6</v>
      </c>
      <c r="C71" s="16">
        <f>SUM(COUNTIF('Season 6'!A:AAO, TRIM(A71)), COUNTIF('Season 6'!A:AAO, TRIM(A71) &amp; " (Defending)"), COUNTIF('Season 6'!A:AAO, TRIM(A71) &amp; " (PL)"), COUNTIF('Season 6'!A:AAO, TRIM(A71) &amp; " (PL) (Defending)"))</f>
        <v>14</v>
      </c>
    </row>
    <row r="72" spans="1:3">
      <c r="A72" s="51" t="s">
        <v>21</v>
      </c>
      <c r="B72" s="15">
        <f>COUNTIF('Season 6'!A:AAO, CONCATENATE(TRIM(A72), " ","-"," ","W*"))</f>
        <v>5</v>
      </c>
      <c r="C72" s="16">
        <f>SUM(COUNTIF('Season 6'!A:AAO, TRIM(A72)), COUNTIF('Season 6'!A:AAO, TRIM(A72) &amp; " (Defending)"), COUNTIF('Season 6'!A:AAO, TRIM(A72) &amp; " (PL)"), COUNTIF('Season 6'!A:AAO, TRIM(A72) &amp; " (PL) (Defending)"))</f>
        <v>11</v>
      </c>
    </row>
    <row r="73" spans="1:3">
      <c r="A73" s="51" t="s">
        <v>9</v>
      </c>
      <c r="B73" s="15">
        <f>COUNTIF('Season 6'!A:AAO, CONCATENATE(TRIM(A73), " ","-"," ","W*"))</f>
        <v>4</v>
      </c>
      <c r="C73" s="16">
        <f>SUM(COUNTIF('Season 6'!A:AAO, TRIM(A73)), COUNTIF('Season 6'!A:AAO, TRIM(A73) &amp; " (Defending)"), COUNTIF('Season 6'!A:AAO, TRIM(A73) &amp; " (PL)"), COUNTIF('Season 6'!A:AAO, TRIM(A73) &amp; " (PL) (Defending)"))</f>
        <v>12</v>
      </c>
    </row>
    <row r="74" spans="1:3">
      <c r="A74" s="51" t="s">
        <v>44</v>
      </c>
      <c r="B74" s="15">
        <f>COUNTIF('Season 6'!A:AAO, CONCATENATE(TRIM(A74), " ","-"," ","W*"))</f>
        <v>4</v>
      </c>
      <c r="C74" s="16">
        <f>SUM(COUNTIF('Season 6'!A:AAO, TRIM(A74)), COUNTIF('Season 6'!A:AAO, TRIM(A74) &amp; " (Defending)"), COUNTIF('Season 6'!A:AAO, TRIM(A74) &amp; " (PL)"), COUNTIF('Season 6'!A:AAO, TRIM(A74) &amp; " (PL) (Defending)"))</f>
        <v>10</v>
      </c>
    </row>
    <row r="75" spans="1:3">
      <c r="A75" s="51" t="s">
        <v>18</v>
      </c>
      <c r="B75" s="15">
        <f>COUNTIF('Season 6'!A:AAO, CONCATENATE(TRIM(A75), " ","-"," ","W*"))</f>
        <v>0</v>
      </c>
      <c r="C75" s="16">
        <f>SUM(COUNTIF('Season 6'!A:AAO, TRIM(A75)), COUNTIF('Season 6'!A:AAO, TRIM(A75) &amp; " (Defending)"), COUNTIF('Season 6'!A:AAO, TRIM(A75) &amp; " (PL)"), COUNTIF('Season 6'!A:AAO, TRIM(A75) &amp; " (PL) (Defending)"))</f>
        <v>13</v>
      </c>
    </row>
    <row r="455" spans="1:3">
      <c r="A455" t="s">
        <v>721</v>
      </c>
      <c r="B455">
        <v>0</v>
      </c>
      <c r="C455">
        <v>0</v>
      </c>
    </row>
    <row r="456" spans="1:3">
      <c r="A456" t="s">
        <v>722</v>
      </c>
      <c r="B456">
        <v>0</v>
      </c>
      <c r="C456">
        <v>0</v>
      </c>
    </row>
    <row r="457" spans="1:3">
      <c r="A457" t="s">
        <v>791</v>
      </c>
      <c r="B457">
        <v>0</v>
      </c>
      <c r="C457">
        <v>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C1D4-75B7-6949-B895-A3066311186C}">
  <dimension ref="A1:E46"/>
  <sheetViews>
    <sheetView workbookViewId="0">
      <selection activeCell="E18" sqref="E18"/>
    </sheetView>
  </sheetViews>
  <sheetFormatPr defaultColWidth="11" defaultRowHeight="15.75"/>
  <cols>
    <col min="1" max="1" width="2.1875" bestFit="1" customWidth="1"/>
    <col min="2" max="2" width="40.1875" bestFit="1" customWidth="1"/>
    <col min="3" max="3" width="3" bestFit="1" customWidth="1"/>
    <col min="4" max="4" width="3.1875" bestFit="1" customWidth="1"/>
    <col min="5" max="5" width="163" bestFit="1" customWidth="1"/>
  </cols>
  <sheetData>
    <row r="1" spans="1:5" ht="23.25">
      <c r="B1" s="73" t="s">
        <v>691</v>
      </c>
      <c r="C1" t="s">
        <v>79</v>
      </c>
      <c r="D1" t="s">
        <v>80</v>
      </c>
      <c r="E1" t="s">
        <v>358</v>
      </c>
    </row>
    <row r="2" spans="1:5">
      <c r="A2">
        <v>1</v>
      </c>
      <c r="B2" t="s">
        <v>42</v>
      </c>
      <c r="C2" s="6">
        <v>23</v>
      </c>
      <c r="D2" s="6">
        <v>5</v>
      </c>
      <c r="E2" t="s">
        <v>710</v>
      </c>
    </row>
    <row r="3" spans="1:5">
      <c r="A3">
        <v>2</v>
      </c>
      <c r="B3" s="132" t="s">
        <v>3</v>
      </c>
      <c r="C3" s="6">
        <v>22</v>
      </c>
      <c r="D3" s="6">
        <v>5</v>
      </c>
      <c r="E3" t="s">
        <v>711</v>
      </c>
    </row>
    <row r="4" spans="1:5">
      <c r="A4">
        <v>3</v>
      </c>
      <c r="B4" t="s">
        <v>46</v>
      </c>
      <c r="C4" s="6">
        <v>24</v>
      </c>
      <c r="D4" s="6">
        <v>6</v>
      </c>
      <c r="E4" t="s">
        <v>714</v>
      </c>
    </row>
    <row r="5" spans="1:5">
      <c r="A5">
        <v>4</v>
      </c>
      <c r="B5" t="s">
        <v>45</v>
      </c>
      <c r="C5" s="6">
        <v>20</v>
      </c>
      <c r="D5" s="6">
        <v>8</v>
      </c>
      <c r="E5" t="s">
        <v>709</v>
      </c>
    </row>
    <row r="6" spans="1:5">
      <c r="A6">
        <v>5</v>
      </c>
      <c r="B6" t="s">
        <v>56</v>
      </c>
      <c r="C6" s="6">
        <v>17</v>
      </c>
      <c r="D6" s="6">
        <v>7</v>
      </c>
      <c r="E6" t="s">
        <v>708</v>
      </c>
    </row>
    <row r="8" spans="1:5" ht="23.25">
      <c r="B8" s="73" t="s">
        <v>692</v>
      </c>
      <c r="C8" t="s">
        <v>79</v>
      </c>
      <c r="D8" t="s">
        <v>80</v>
      </c>
      <c r="E8" t="s">
        <v>358</v>
      </c>
    </row>
    <row r="9" spans="1:5">
      <c r="A9">
        <v>1</v>
      </c>
      <c r="B9" s="132" t="s">
        <v>42</v>
      </c>
      <c r="C9" s="6">
        <v>23</v>
      </c>
      <c r="D9" s="6">
        <v>5</v>
      </c>
      <c r="E9" t="s">
        <v>710</v>
      </c>
    </row>
    <row r="10" spans="1:5">
      <c r="A10">
        <v>2</v>
      </c>
      <c r="B10" t="s">
        <v>45</v>
      </c>
      <c r="C10" s="6">
        <v>20</v>
      </c>
      <c r="D10" s="6">
        <v>8</v>
      </c>
      <c r="E10" t="s">
        <v>709</v>
      </c>
    </row>
    <row r="11" spans="1:5">
      <c r="A11">
        <v>3</v>
      </c>
      <c r="B11" t="s">
        <v>56</v>
      </c>
      <c r="C11" s="6">
        <v>17</v>
      </c>
      <c r="D11" s="6">
        <v>7</v>
      </c>
      <c r="E11" t="s">
        <v>708</v>
      </c>
    </row>
    <row r="13" spans="1:5" ht="23.25">
      <c r="B13" s="73" t="s">
        <v>693</v>
      </c>
      <c r="C13" t="s">
        <v>79</v>
      </c>
      <c r="D13" t="s">
        <v>80</v>
      </c>
      <c r="E13" t="s">
        <v>358</v>
      </c>
    </row>
    <row r="14" spans="1:5">
      <c r="A14">
        <v>1</v>
      </c>
      <c r="B14" s="132" t="s">
        <v>3</v>
      </c>
      <c r="C14" s="6">
        <v>22</v>
      </c>
      <c r="D14" s="6">
        <v>5</v>
      </c>
      <c r="E14" t="s">
        <v>711</v>
      </c>
    </row>
    <row r="15" spans="1:5">
      <c r="A15">
        <v>2</v>
      </c>
      <c r="B15" t="s">
        <v>532</v>
      </c>
      <c r="C15" s="6">
        <v>19</v>
      </c>
      <c r="D15" s="6">
        <v>4</v>
      </c>
      <c r="E15" t="s">
        <v>712</v>
      </c>
    </row>
    <row r="16" spans="1:5">
      <c r="A16">
        <v>3</v>
      </c>
      <c r="B16" t="s">
        <v>67</v>
      </c>
      <c r="C16" s="6">
        <v>16</v>
      </c>
      <c r="D16" s="6">
        <v>12</v>
      </c>
      <c r="E16" t="s">
        <v>713</v>
      </c>
    </row>
    <row r="18" spans="1:5" ht="23.25">
      <c r="B18" s="73" t="s">
        <v>694</v>
      </c>
      <c r="C18" t="s">
        <v>79</v>
      </c>
      <c r="D18" t="s">
        <v>80</v>
      </c>
      <c r="E18" t="s">
        <v>358</v>
      </c>
    </row>
    <row r="19" spans="1:5">
      <c r="A19">
        <v>1</v>
      </c>
      <c r="B19" s="132" t="s">
        <v>46</v>
      </c>
      <c r="C19" s="6">
        <v>24</v>
      </c>
      <c r="D19" s="6">
        <v>6</v>
      </c>
      <c r="E19" t="s">
        <v>714</v>
      </c>
    </row>
    <row r="20" spans="1:5">
      <c r="A20">
        <v>2</v>
      </c>
      <c r="B20" t="s">
        <v>59</v>
      </c>
      <c r="C20" s="6">
        <v>17</v>
      </c>
      <c r="D20" s="6">
        <v>8</v>
      </c>
      <c r="E20" t="s">
        <v>715</v>
      </c>
    </row>
    <row r="21" spans="1:5">
      <c r="A21">
        <v>3</v>
      </c>
      <c r="B21" t="s">
        <v>65</v>
      </c>
      <c r="C21" s="6">
        <v>19</v>
      </c>
      <c r="D21" s="6">
        <v>7</v>
      </c>
      <c r="E21" t="s">
        <v>699</v>
      </c>
    </row>
    <row r="23" spans="1:5" ht="23.25">
      <c r="B23" s="73" t="s">
        <v>408</v>
      </c>
    </row>
    <row r="24" spans="1:5">
      <c r="A24">
        <v>1</v>
      </c>
      <c r="B24" s="132" t="s">
        <v>373</v>
      </c>
      <c r="E24" t="s">
        <v>696</v>
      </c>
    </row>
    <row r="25" spans="1:5">
      <c r="A25">
        <v>2</v>
      </c>
      <c r="B25" t="s">
        <v>695</v>
      </c>
      <c r="E25" t="s">
        <v>697</v>
      </c>
    </row>
    <row r="27" spans="1:5" ht="23.25">
      <c r="B27" s="73" t="s">
        <v>443</v>
      </c>
      <c r="C27" t="s">
        <v>79</v>
      </c>
      <c r="D27" t="s">
        <v>80</v>
      </c>
    </row>
    <row r="28" spans="1:5">
      <c r="A28">
        <v>1</v>
      </c>
      <c r="B28" t="s">
        <v>60</v>
      </c>
      <c r="C28" s="6">
        <v>16</v>
      </c>
      <c r="D28" s="6">
        <v>12</v>
      </c>
      <c r="E28" t="s">
        <v>698</v>
      </c>
    </row>
    <row r="29" spans="1:5">
      <c r="A29">
        <v>2</v>
      </c>
      <c r="B29" t="s">
        <v>65</v>
      </c>
      <c r="C29" s="6">
        <v>19</v>
      </c>
      <c r="D29" s="6">
        <v>7</v>
      </c>
      <c r="E29" t="s">
        <v>699</v>
      </c>
    </row>
    <row r="30" spans="1:5">
      <c r="A30">
        <v>3</v>
      </c>
      <c r="B30" s="132" t="s">
        <v>59</v>
      </c>
      <c r="C30" s="6">
        <v>17</v>
      </c>
      <c r="D30" s="6">
        <v>8</v>
      </c>
      <c r="E30" t="s">
        <v>734</v>
      </c>
    </row>
    <row r="31" spans="1:5">
      <c r="A31">
        <v>4</v>
      </c>
      <c r="B31" t="s">
        <v>67</v>
      </c>
      <c r="C31" s="6">
        <v>16</v>
      </c>
      <c r="D31" s="6">
        <v>12</v>
      </c>
      <c r="E31" t="s">
        <v>700</v>
      </c>
    </row>
    <row r="32" spans="1:5">
      <c r="A32">
        <v>5</v>
      </c>
      <c r="B32" t="s">
        <v>45</v>
      </c>
      <c r="C32" s="6">
        <v>20</v>
      </c>
      <c r="D32" s="6">
        <v>8</v>
      </c>
      <c r="E32" t="s">
        <v>716</v>
      </c>
    </row>
    <row r="34" spans="1:5" ht="23.25">
      <c r="B34" s="73" t="s">
        <v>357</v>
      </c>
      <c r="C34" t="s">
        <v>79</v>
      </c>
      <c r="D34" t="s">
        <v>80</v>
      </c>
    </row>
    <row r="35" spans="1:5">
      <c r="A35">
        <v>1</v>
      </c>
      <c r="B35" t="s">
        <v>66</v>
      </c>
      <c r="C35" s="6">
        <v>6</v>
      </c>
      <c r="D35" s="6">
        <v>14</v>
      </c>
      <c r="E35" t="s">
        <v>703</v>
      </c>
    </row>
    <row r="36" spans="1:5">
      <c r="A36">
        <v>2</v>
      </c>
      <c r="B36" s="132" t="s">
        <v>1</v>
      </c>
      <c r="C36" s="6">
        <v>6</v>
      </c>
      <c r="D36" s="6">
        <v>16</v>
      </c>
      <c r="E36" t="s">
        <v>701</v>
      </c>
    </row>
    <row r="37" spans="1:5">
      <c r="A37">
        <v>3</v>
      </c>
      <c r="B37" t="s">
        <v>37</v>
      </c>
      <c r="C37" s="6">
        <v>11</v>
      </c>
      <c r="D37" s="6">
        <v>15</v>
      </c>
      <c r="E37" t="s">
        <v>702</v>
      </c>
    </row>
    <row r="38" spans="1:5">
      <c r="A38">
        <v>4</v>
      </c>
      <c r="B38" t="s">
        <v>2</v>
      </c>
      <c r="C38" s="6">
        <v>10</v>
      </c>
      <c r="D38" s="6">
        <v>17</v>
      </c>
      <c r="E38" t="s">
        <v>704</v>
      </c>
    </row>
    <row r="39" spans="1:5">
      <c r="A39">
        <v>5</v>
      </c>
      <c r="B39" t="s">
        <v>4</v>
      </c>
      <c r="C39" s="6">
        <v>6</v>
      </c>
      <c r="D39" s="6">
        <v>14</v>
      </c>
      <c r="E39" t="s">
        <v>705</v>
      </c>
    </row>
    <row r="41" spans="1:5" ht="23.25">
      <c r="B41" s="75" t="s">
        <v>415</v>
      </c>
    </row>
    <row r="42" spans="1:5">
      <c r="A42">
        <v>1</v>
      </c>
      <c r="C42" s="148"/>
      <c r="D42" s="148"/>
      <c r="E42" s="148"/>
    </row>
    <row r="43" spans="1:5">
      <c r="A43">
        <v>2</v>
      </c>
      <c r="B43" s="78"/>
      <c r="C43" s="148"/>
      <c r="D43" s="148"/>
      <c r="E43" s="148"/>
    </row>
    <row r="44" spans="1:5">
      <c r="A44">
        <v>3</v>
      </c>
      <c r="C44" s="148"/>
      <c r="D44" s="148"/>
      <c r="E44" s="148"/>
    </row>
    <row r="45" spans="1:5">
      <c r="A45">
        <v>4</v>
      </c>
      <c r="C45" s="148"/>
      <c r="D45" s="148"/>
      <c r="E45" s="148"/>
    </row>
    <row r="46" spans="1:5">
      <c r="A46">
        <v>5</v>
      </c>
      <c r="C46" s="148"/>
      <c r="D46" s="148"/>
      <c r="E46" s="148"/>
    </row>
  </sheetData>
  <mergeCells count="5">
    <mergeCell ref="C42:E42"/>
    <mergeCell ref="C43:E43"/>
    <mergeCell ref="C44:E44"/>
    <mergeCell ref="C45:E45"/>
    <mergeCell ref="C46:E4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E135"/>
  <sheetViews>
    <sheetView topLeftCell="P61" zoomScale="89" workbookViewId="0">
      <selection activeCell="Z89" sqref="Z89"/>
    </sheetView>
  </sheetViews>
  <sheetFormatPr defaultColWidth="11" defaultRowHeight="15.75"/>
  <cols>
    <col min="1" max="1" width="28.6875" bestFit="1" customWidth="1"/>
    <col min="2" max="2" width="19.5" bestFit="1" customWidth="1"/>
    <col min="3" max="3" width="24.6875" style="6" bestFit="1" customWidth="1"/>
    <col min="4" max="4" width="20.8125" style="6" bestFit="1" customWidth="1"/>
    <col min="5" max="5" width="13.6875" bestFit="1" customWidth="1"/>
    <col min="6" max="6" width="8.6875" bestFit="1" customWidth="1"/>
    <col min="8" max="8" width="41.5" bestFit="1" customWidth="1"/>
    <col min="9" max="9" width="14" bestFit="1" customWidth="1"/>
    <col min="10" max="10" width="24.5" style="6" bestFit="1" customWidth="1"/>
    <col min="11" max="11" width="20.8125" style="6" bestFit="1" customWidth="1"/>
    <col min="12" max="12" width="10.8125" style="6" bestFit="1" customWidth="1"/>
    <col min="13" max="13" width="9.6875" style="6" bestFit="1" customWidth="1"/>
    <col min="15" max="15" width="44.3125" bestFit="1" customWidth="1"/>
    <col min="16" max="16" width="17.5" bestFit="1" customWidth="1"/>
    <col min="17" max="17" width="24.8125" bestFit="1" customWidth="1"/>
    <col min="18" max="18" width="17.3125" bestFit="1" customWidth="1"/>
    <col min="19" max="19" width="11.8125" bestFit="1" customWidth="1"/>
    <col min="20" max="20" width="11.1875" bestFit="1" customWidth="1"/>
    <col min="22" max="22" width="28.6875" bestFit="1" customWidth="1"/>
    <col min="23" max="23" width="26.3125" bestFit="1" customWidth="1"/>
    <col min="24" max="24" width="20.8125" bestFit="1" customWidth="1"/>
    <col min="25" max="25" width="17.3125" bestFit="1" customWidth="1"/>
    <col min="26" max="26" width="9.6875" bestFit="1" customWidth="1"/>
    <col min="27" max="27" width="11.6875" bestFit="1" customWidth="1"/>
    <col min="29" max="29" width="71.8125" bestFit="1" customWidth="1"/>
    <col min="30" max="30" width="13.6875" bestFit="1" customWidth="1"/>
    <col min="31" max="31" width="25.1875" bestFit="1" customWidth="1"/>
    <col min="32" max="32" width="20.8125" bestFit="1" customWidth="1"/>
    <col min="33" max="33" width="11.6875" bestFit="1" customWidth="1"/>
    <col min="34" max="34" width="10.5" bestFit="1" customWidth="1"/>
    <col min="35" max="35" width="10.8125" customWidth="1"/>
    <col min="36" max="36" width="29.3125" bestFit="1" customWidth="1"/>
    <col min="37" max="37" width="19.1875" bestFit="1" customWidth="1"/>
    <col min="38" max="38" width="20.8125" bestFit="1" customWidth="1"/>
    <col min="39" max="39" width="14.1875" bestFit="1" customWidth="1"/>
    <col min="40" max="40" width="9.1875" bestFit="1" customWidth="1"/>
    <col min="41" max="41" width="8.6875" bestFit="1" customWidth="1"/>
    <col min="43" max="43" width="26" bestFit="1" customWidth="1"/>
    <col min="44" max="44" width="39.8125" bestFit="1" customWidth="1"/>
    <col min="45" max="45" width="24.6875" bestFit="1" customWidth="1"/>
    <col min="46" max="46" width="20.8125" bestFit="1" customWidth="1"/>
    <col min="47" max="47" width="22.6875" bestFit="1" customWidth="1"/>
    <col min="48" max="48" width="22.3125" bestFit="1" customWidth="1"/>
    <col min="50" max="50" width="146.6875" bestFit="1" customWidth="1"/>
    <col min="51" max="51" width="21" bestFit="1" customWidth="1"/>
    <col min="52" max="52" width="24.8125" bestFit="1" customWidth="1"/>
    <col min="53" max="53" width="17.3125" bestFit="1" customWidth="1"/>
    <col min="54" max="54" width="11.6875" bestFit="1" customWidth="1"/>
    <col min="55" max="55" width="11.8125" bestFit="1" customWidth="1"/>
    <col min="57" max="57" width="44.3125" bestFit="1" customWidth="1"/>
    <col min="58" max="58" width="20.8125" bestFit="1" customWidth="1"/>
    <col min="59" max="59" width="19.1875" bestFit="1" customWidth="1"/>
    <col min="60" max="60" width="20.8125" bestFit="1" customWidth="1"/>
    <col min="61" max="61" width="15.6875" bestFit="1" customWidth="1"/>
    <col min="62" max="62" width="9.3125" bestFit="1" customWidth="1"/>
    <col min="64" max="64" width="49.8125" bestFit="1" customWidth="1"/>
    <col min="65" max="65" width="19" bestFit="1" customWidth="1"/>
    <col min="66" max="66" width="24.5" bestFit="1" customWidth="1"/>
    <col min="67" max="67" width="20.8125" bestFit="1" customWidth="1"/>
    <col min="68" max="68" width="11.8125" bestFit="1" customWidth="1"/>
    <col min="69" max="69" width="11.6875" bestFit="1" customWidth="1"/>
    <col min="71" max="71" width="56.3125" bestFit="1" customWidth="1"/>
    <col min="72" max="72" width="29" bestFit="1" customWidth="1"/>
    <col min="73" max="73" width="25.1875" bestFit="1" customWidth="1"/>
    <col min="74" max="74" width="19" bestFit="1" customWidth="1"/>
    <col min="75" max="75" width="13.8125" bestFit="1" customWidth="1"/>
    <col min="76" max="76" width="7.5" bestFit="1" customWidth="1"/>
    <col min="78" max="78" width="39.3125" bestFit="1" customWidth="1"/>
    <col min="79" max="79" width="32.8125" bestFit="1" customWidth="1"/>
    <col min="80" max="80" width="24.6875" bestFit="1" customWidth="1"/>
    <col min="81" max="81" width="23" bestFit="1" customWidth="1"/>
    <col min="82" max="82" width="13.8125" bestFit="1" customWidth="1"/>
    <col min="83" max="83" width="14.8125" bestFit="1" customWidth="1"/>
  </cols>
  <sheetData>
    <row r="1" spans="1:83" ht="25.15">
      <c r="A1" s="5" t="s">
        <v>68</v>
      </c>
      <c r="B1" s="5"/>
      <c r="H1" s="5" t="s">
        <v>97</v>
      </c>
      <c r="I1" s="5"/>
      <c r="O1" s="5" t="s">
        <v>176</v>
      </c>
      <c r="P1" s="5"/>
      <c r="Q1" s="6"/>
      <c r="R1" s="6"/>
      <c r="S1" s="6"/>
      <c r="T1" s="6"/>
      <c r="V1" s="5" t="s">
        <v>184</v>
      </c>
      <c r="W1" s="5"/>
      <c r="X1" s="6"/>
      <c r="Y1" s="6"/>
      <c r="Z1" s="6"/>
      <c r="AA1" s="6"/>
      <c r="AC1" s="5" t="s">
        <v>185</v>
      </c>
      <c r="AD1" s="5"/>
      <c r="AE1" s="6"/>
      <c r="AF1" s="6"/>
      <c r="AG1" s="6"/>
      <c r="AH1" s="6"/>
      <c r="AJ1" s="5" t="s">
        <v>186</v>
      </c>
      <c r="AK1" s="5"/>
      <c r="AL1" s="6"/>
      <c r="AM1" s="6"/>
      <c r="AN1" s="6"/>
      <c r="AO1" s="6"/>
      <c r="AQ1" s="5" t="s">
        <v>187</v>
      </c>
      <c r="AR1" s="5"/>
      <c r="AS1" s="6"/>
      <c r="AT1" s="6"/>
      <c r="AU1" s="6"/>
      <c r="AV1" s="6"/>
      <c r="AX1" s="5" t="s">
        <v>188</v>
      </c>
      <c r="AY1" s="5"/>
      <c r="AZ1" s="6"/>
      <c r="BA1" s="6"/>
      <c r="BB1" s="6"/>
      <c r="BC1" s="6"/>
      <c r="BE1" s="31" t="s">
        <v>190</v>
      </c>
      <c r="BF1" s="31"/>
      <c r="BG1" s="33"/>
      <c r="BH1" s="33"/>
      <c r="BI1" s="33"/>
      <c r="BJ1" s="33"/>
      <c r="BL1" s="31" t="s">
        <v>191</v>
      </c>
      <c r="BM1" s="31"/>
      <c r="BN1" s="33"/>
      <c r="BO1" s="33"/>
      <c r="BP1" s="33"/>
      <c r="BQ1" s="33"/>
      <c r="BS1" s="31" t="s">
        <v>192</v>
      </c>
      <c r="BT1" s="31"/>
      <c r="BU1" s="33"/>
      <c r="BV1" s="33"/>
      <c r="BW1" s="33"/>
      <c r="BX1" s="33"/>
      <c r="BZ1" s="31" t="s">
        <v>193</v>
      </c>
      <c r="CA1" s="31"/>
      <c r="CB1" s="33"/>
      <c r="CC1" s="33"/>
      <c r="CD1" s="33"/>
      <c r="CE1" s="33"/>
    </row>
    <row r="2" spans="1:83">
      <c r="Q2" s="6"/>
      <c r="R2" s="6"/>
      <c r="S2" s="6"/>
      <c r="T2" s="6"/>
      <c r="X2" s="6"/>
      <c r="Y2" s="6"/>
      <c r="Z2" s="6"/>
      <c r="AA2" s="6"/>
      <c r="AE2" s="6"/>
      <c r="AF2" s="6"/>
      <c r="AG2" s="6"/>
      <c r="AH2" s="6"/>
      <c r="AL2" s="6"/>
      <c r="AM2" s="6"/>
      <c r="AN2" s="6"/>
      <c r="AO2" s="6"/>
      <c r="AS2" s="6"/>
      <c r="AT2" s="6"/>
      <c r="AU2" s="6"/>
      <c r="AV2" s="6"/>
      <c r="AZ2" s="6"/>
      <c r="BA2" s="6"/>
      <c r="BB2" s="6"/>
      <c r="BC2" s="6"/>
      <c r="BE2" s="32"/>
      <c r="BF2" s="32"/>
      <c r="BG2" s="33"/>
      <c r="BH2" s="33"/>
      <c r="BI2" s="33"/>
      <c r="BJ2" s="33"/>
      <c r="BL2" s="32"/>
      <c r="BM2" s="32"/>
      <c r="BN2" s="33"/>
      <c r="BO2" s="33"/>
      <c r="BP2" s="33"/>
      <c r="BQ2" s="33"/>
      <c r="BS2" s="32"/>
      <c r="BT2" s="32"/>
      <c r="BU2" s="33"/>
      <c r="BV2" s="33"/>
      <c r="BW2" s="33"/>
      <c r="BX2" s="33"/>
      <c r="BZ2" s="32"/>
      <c r="CA2" s="32"/>
      <c r="CB2" s="33"/>
      <c r="CC2" s="33"/>
      <c r="CD2" s="33"/>
      <c r="CE2" s="33"/>
    </row>
    <row r="3" spans="1:83" ht="21">
      <c r="A3" s="10"/>
      <c r="B3" s="11" t="s">
        <v>69</v>
      </c>
      <c r="C3" s="27" t="s">
        <v>260</v>
      </c>
      <c r="D3" s="12"/>
      <c r="E3" s="10"/>
      <c r="F3" s="10"/>
      <c r="H3" s="10"/>
      <c r="I3" s="11" t="s">
        <v>69</v>
      </c>
      <c r="J3" s="27" t="s">
        <v>152</v>
      </c>
      <c r="K3" s="12"/>
      <c r="L3" s="12"/>
      <c r="M3" s="12"/>
      <c r="O3" s="10"/>
      <c r="P3" s="11" t="s">
        <v>69</v>
      </c>
      <c r="Q3" s="27" t="s">
        <v>177</v>
      </c>
      <c r="R3" s="12"/>
      <c r="S3" s="12"/>
      <c r="T3" s="12"/>
      <c r="V3" s="10"/>
      <c r="W3" s="11" t="s">
        <v>69</v>
      </c>
      <c r="X3" s="27" t="s">
        <v>212</v>
      </c>
      <c r="Y3" s="12"/>
      <c r="Z3" s="12"/>
      <c r="AA3" s="12"/>
      <c r="AC3" s="10"/>
      <c r="AD3" s="11" t="s">
        <v>69</v>
      </c>
      <c r="AE3" s="27" t="s">
        <v>230</v>
      </c>
      <c r="AF3" s="12"/>
      <c r="AG3" s="12"/>
      <c r="AH3" s="12"/>
      <c r="AJ3" s="10"/>
      <c r="AK3" s="11" t="s">
        <v>69</v>
      </c>
      <c r="AL3" s="27" t="s">
        <v>250</v>
      </c>
      <c r="AM3" s="12"/>
      <c r="AN3" s="12"/>
      <c r="AO3" s="12"/>
      <c r="AQ3" s="10"/>
      <c r="AR3" s="11" t="s">
        <v>69</v>
      </c>
      <c r="AS3" s="27" t="s">
        <v>121</v>
      </c>
      <c r="AT3" s="12"/>
      <c r="AU3" s="12"/>
      <c r="AV3" s="12"/>
      <c r="AX3" s="10"/>
      <c r="AY3" s="11" t="s">
        <v>69</v>
      </c>
      <c r="AZ3" s="27" t="s">
        <v>164</v>
      </c>
      <c r="BA3" s="12"/>
      <c r="BB3" s="12"/>
      <c r="BC3" s="12"/>
      <c r="BE3" s="34"/>
      <c r="BF3" s="35" t="s">
        <v>69</v>
      </c>
      <c r="BG3" s="36" t="s">
        <v>178</v>
      </c>
      <c r="BH3" s="37"/>
      <c r="BI3" s="37"/>
      <c r="BJ3" s="37"/>
      <c r="BL3" s="34"/>
      <c r="BM3" s="35" t="s">
        <v>69</v>
      </c>
      <c r="BN3" s="36" t="s">
        <v>814</v>
      </c>
      <c r="BO3" s="37"/>
      <c r="BP3" s="37"/>
      <c r="BQ3" s="37"/>
      <c r="BS3" s="34"/>
      <c r="BT3" s="35" t="s">
        <v>69</v>
      </c>
      <c r="BU3" s="36" t="s">
        <v>235</v>
      </c>
      <c r="BV3" s="37"/>
      <c r="BW3" s="37"/>
      <c r="BX3" s="37"/>
      <c r="BZ3" s="34"/>
      <c r="CA3" s="35" t="s">
        <v>69</v>
      </c>
      <c r="CB3" s="36" t="s">
        <v>253</v>
      </c>
      <c r="CC3" s="37"/>
      <c r="CD3" s="37"/>
      <c r="CE3" s="37"/>
    </row>
    <row r="4" spans="1:83">
      <c r="A4" s="10"/>
      <c r="B4" s="10">
        <v>1</v>
      </c>
      <c r="C4" s="12" t="s">
        <v>45</v>
      </c>
      <c r="D4" s="12" t="s">
        <v>88</v>
      </c>
      <c r="E4" s="12"/>
      <c r="F4" s="10"/>
      <c r="H4" s="10"/>
      <c r="I4" s="10">
        <v>1</v>
      </c>
      <c r="J4" s="12" t="s">
        <v>49</v>
      </c>
      <c r="K4" s="12" t="s">
        <v>81</v>
      </c>
      <c r="L4" s="12"/>
      <c r="M4" s="12"/>
      <c r="O4" s="10" t="s">
        <v>194</v>
      </c>
      <c r="P4" s="10">
        <v>1</v>
      </c>
      <c r="Q4" s="12" t="s">
        <v>195</v>
      </c>
      <c r="R4" s="12" t="s">
        <v>43</v>
      </c>
      <c r="S4" s="12"/>
      <c r="T4" s="12"/>
      <c r="V4" s="10" t="s">
        <v>221</v>
      </c>
      <c r="W4" s="10">
        <v>1</v>
      </c>
      <c r="X4" s="12" t="s">
        <v>62</v>
      </c>
      <c r="Y4" s="12" t="s">
        <v>222</v>
      </c>
      <c r="Z4" s="12"/>
      <c r="AA4" s="12"/>
      <c r="AC4" s="10"/>
      <c r="AD4" s="10">
        <v>1</v>
      </c>
      <c r="AE4" s="12" t="s">
        <v>71</v>
      </c>
      <c r="AF4" s="12" t="s">
        <v>40</v>
      </c>
      <c r="AG4" s="12"/>
      <c r="AH4" s="12"/>
      <c r="AJ4" s="10"/>
      <c r="AK4" s="10">
        <v>1</v>
      </c>
      <c r="AL4" s="12" t="s">
        <v>57</v>
      </c>
      <c r="AM4" s="12" t="s">
        <v>251</v>
      </c>
      <c r="AN4" s="12"/>
      <c r="AO4" s="12"/>
      <c r="AQ4" s="10" t="s">
        <v>270</v>
      </c>
      <c r="AR4" s="10">
        <v>1</v>
      </c>
      <c r="AS4" s="12" t="s">
        <v>222</v>
      </c>
      <c r="AT4" s="12" t="s">
        <v>60</v>
      </c>
      <c r="AU4" s="12"/>
      <c r="AV4" s="12"/>
      <c r="AX4" s="10" t="s">
        <v>306</v>
      </c>
      <c r="AY4" s="10">
        <v>1</v>
      </c>
      <c r="AZ4" s="12" t="s">
        <v>83</v>
      </c>
      <c r="BA4" s="12" t="s">
        <v>60</v>
      </c>
      <c r="BB4" s="12"/>
      <c r="BC4" s="12"/>
      <c r="BE4" s="34"/>
      <c r="BF4" s="34">
        <v>1</v>
      </c>
      <c r="BG4" s="37" t="s">
        <v>60</v>
      </c>
      <c r="BH4" s="37" t="s">
        <v>83</v>
      </c>
      <c r="BI4" s="37"/>
      <c r="BJ4" s="37"/>
      <c r="BL4" s="34"/>
      <c r="BM4" s="34">
        <v>1</v>
      </c>
      <c r="BN4" s="37" t="s">
        <v>156</v>
      </c>
      <c r="BO4" s="37" t="s">
        <v>43</v>
      </c>
      <c r="BP4" s="37"/>
      <c r="BQ4" s="37"/>
      <c r="BS4" s="34"/>
      <c r="BT4" s="34">
        <v>1</v>
      </c>
      <c r="BU4" s="37" t="s">
        <v>83</v>
      </c>
      <c r="BV4" s="37" t="s">
        <v>39</v>
      </c>
      <c r="BW4" s="37"/>
      <c r="BX4" s="37"/>
      <c r="BZ4" s="34"/>
      <c r="CA4" s="34">
        <v>1</v>
      </c>
      <c r="CB4" s="37" t="s">
        <v>60</v>
      </c>
      <c r="CC4" s="37" t="s">
        <v>71</v>
      </c>
      <c r="CD4" s="37"/>
      <c r="CE4" s="37"/>
    </row>
    <row r="5" spans="1:83">
      <c r="A5" s="10"/>
      <c r="B5" s="10"/>
      <c r="C5" s="12">
        <v>0</v>
      </c>
      <c r="D5" s="12">
        <v>1</v>
      </c>
      <c r="E5" s="12"/>
      <c r="F5" s="10"/>
      <c r="H5" s="10"/>
      <c r="I5" s="10"/>
      <c r="J5" s="12">
        <v>0</v>
      </c>
      <c r="K5" s="12">
        <v>1</v>
      </c>
      <c r="L5" s="12"/>
      <c r="M5" s="12"/>
      <c r="O5" s="10"/>
      <c r="P5" s="10"/>
      <c r="Q5" s="12">
        <v>1</v>
      </c>
      <c r="R5" s="12">
        <v>0</v>
      </c>
      <c r="S5" s="12"/>
      <c r="T5" s="12"/>
      <c r="V5" s="10"/>
      <c r="W5" s="10"/>
      <c r="X5" s="12">
        <v>0</v>
      </c>
      <c r="Y5" s="12">
        <v>1</v>
      </c>
      <c r="Z5" s="12"/>
      <c r="AA5" s="12"/>
      <c r="AC5" s="10"/>
      <c r="AD5" s="10"/>
      <c r="AE5" s="12">
        <v>1</v>
      </c>
      <c r="AF5" s="12">
        <v>0</v>
      </c>
      <c r="AG5" s="12"/>
      <c r="AH5" s="12"/>
      <c r="AJ5" s="10"/>
      <c r="AK5" s="10"/>
      <c r="AL5" s="12">
        <v>0</v>
      </c>
      <c r="AM5" s="12">
        <v>2</v>
      </c>
      <c r="AN5" s="12"/>
      <c r="AO5" s="12"/>
      <c r="AQ5" s="10"/>
      <c r="AR5" s="10"/>
      <c r="AS5" s="12">
        <v>2</v>
      </c>
      <c r="AT5" s="12">
        <v>0</v>
      </c>
      <c r="AU5" s="12"/>
      <c r="AV5" s="12"/>
      <c r="AX5" s="10"/>
      <c r="AY5" s="10"/>
      <c r="AZ5" s="12">
        <v>2</v>
      </c>
      <c r="BA5" s="12">
        <v>0</v>
      </c>
      <c r="BB5" s="12"/>
      <c r="BC5" s="12"/>
      <c r="BE5" s="34"/>
      <c r="BF5" s="34"/>
      <c r="BG5" s="37">
        <v>0</v>
      </c>
      <c r="BH5" s="37">
        <v>2</v>
      </c>
      <c r="BI5" s="37"/>
      <c r="BJ5" s="37"/>
      <c r="BL5" s="34"/>
      <c r="BM5" s="34"/>
      <c r="BN5" s="37">
        <v>2</v>
      </c>
      <c r="BO5" s="37">
        <v>0</v>
      </c>
      <c r="BP5" s="37"/>
      <c r="BQ5" s="37"/>
      <c r="BS5" s="34"/>
      <c r="BT5" s="34"/>
      <c r="BU5" s="37">
        <v>2</v>
      </c>
      <c r="BV5" s="37">
        <v>0</v>
      </c>
      <c r="BW5" s="37"/>
      <c r="BX5" s="37"/>
      <c r="BZ5" s="34"/>
      <c r="CA5" s="34"/>
      <c r="CB5" s="37">
        <v>0</v>
      </c>
      <c r="CC5" s="37">
        <v>1</v>
      </c>
      <c r="CD5" s="37"/>
      <c r="CE5" s="37"/>
    </row>
    <row r="6" spans="1:83">
      <c r="A6" s="10"/>
      <c r="B6" s="10">
        <v>2</v>
      </c>
      <c r="C6" s="12" t="s">
        <v>82</v>
      </c>
      <c r="D6" s="12" t="s">
        <v>92</v>
      </c>
      <c r="E6" s="12"/>
      <c r="F6" s="10"/>
      <c r="H6" s="10"/>
      <c r="I6" s="10">
        <v>2</v>
      </c>
      <c r="J6" s="12" t="s">
        <v>156</v>
      </c>
      <c r="K6" s="12" t="s">
        <v>44</v>
      </c>
      <c r="L6" s="12"/>
      <c r="M6" s="12"/>
      <c r="O6" s="10"/>
      <c r="P6" s="10">
        <v>2</v>
      </c>
      <c r="Q6" s="12" t="s">
        <v>40</v>
      </c>
      <c r="R6" s="12" t="s">
        <v>147</v>
      </c>
      <c r="S6" s="12"/>
      <c r="T6" s="12"/>
      <c r="V6" s="10" t="s">
        <v>136</v>
      </c>
      <c r="W6" s="10">
        <v>2</v>
      </c>
      <c r="X6" s="12" t="s">
        <v>96</v>
      </c>
      <c r="Y6" s="30" t="s">
        <v>123</v>
      </c>
      <c r="Z6" s="12" t="s">
        <v>41</v>
      </c>
      <c r="AA6" s="12" t="s">
        <v>40</v>
      </c>
      <c r="AC6" s="10"/>
      <c r="AD6" s="10">
        <v>2</v>
      </c>
      <c r="AE6" s="12" t="s">
        <v>41</v>
      </c>
      <c r="AF6" s="12" t="s">
        <v>195</v>
      </c>
      <c r="AG6" s="12"/>
      <c r="AH6" s="12"/>
      <c r="AJ6" s="10"/>
      <c r="AK6" s="10">
        <v>2</v>
      </c>
      <c r="AL6" s="12" t="s">
        <v>44</v>
      </c>
      <c r="AM6" s="12" t="s">
        <v>117</v>
      </c>
      <c r="AN6" s="12"/>
      <c r="AO6" s="12"/>
      <c r="AQ6" s="10" t="s">
        <v>271</v>
      </c>
      <c r="AR6" s="10">
        <v>2</v>
      </c>
      <c r="AS6" s="12" t="s">
        <v>52</v>
      </c>
      <c r="AT6" s="12" t="s">
        <v>145</v>
      </c>
      <c r="AU6" s="12"/>
      <c r="AV6" s="12"/>
      <c r="AX6" s="10"/>
      <c r="AY6" s="10">
        <v>2</v>
      </c>
      <c r="AZ6" s="12" t="s">
        <v>43</v>
      </c>
      <c r="BA6" s="12" t="s">
        <v>141</v>
      </c>
      <c r="BB6" s="12"/>
      <c r="BC6" s="12"/>
      <c r="BE6" s="34"/>
      <c r="BF6" s="34">
        <v>2</v>
      </c>
      <c r="BG6" s="37" t="s">
        <v>45</v>
      </c>
      <c r="BH6" s="37" t="s">
        <v>141</v>
      </c>
      <c r="BI6" s="37"/>
      <c r="BJ6" s="37"/>
      <c r="BL6" s="34"/>
      <c r="BM6" s="34">
        <v>2</v>
      </c>
      <c r="BN6" s="37" t="s">
        <v>150</v>
      </c>
      <c r="BO6" s="37" t="s">
        <v>39</v>
      </c>
      <c r="BP6" s="37"/>
      <c r="BQ6" s="37"/>
      <c r="BS6" s="34"/>
      <c r="BT6" s="34">
        <v>2</v>
      </c>
      <c r="BU6" s="37" t="s">
        <v>163</v>
      </c>
      <c r="BV6" s="37" t="s">
        <v>60</v>
      </c>
      <c r="BW6" s="37"/>
      <c r="BX6" s="37"/>
      <c r="BZ6" s="34"/>
      <c r="CA6" s="34">
        <v>2</v>
      </c>
      <c r="CB6" s="37" t="s">
        <v>44</v>
      </c>
      <c r="CC6" s="37" t="s">
        <v>123</v>
      </c>
      <c r="CD6" s="37"/>
      <c r="CE6" s="37"/>
    </row>
    <row r="7" spans="1:83">
      <c r="A7" s="10"/>
      <c r="B7" s="10"/>
      <c r="C7" s="12">
        <v>0</v>
      </c>
      <c r="D7" s="12">
        <v>1</v>
      </c>
      <c r="E7" s="12"/>
      <c r="F7" s="10"/>
      <c r="H7" s="10"/>
      <c r="I7" s="10"/>
      <c r="J7" s="12">
        <v>1</v>
      </c>
      <c r="K7" s="12">
        <v>0</v>
      </c>
      <c r="L7" s="12"/>
      <c r="M7" s="12"/>
      <c r="O7" s="10"/>
      <c r="P7" s="10"/>
      <c r="Q7" s="12">
        <v>0</v>
      </c>
      <c r="R7" s="12">
        <v>2</v>
      </c>
      <c r="S7" s="12"/>
      <c r="T7" s="12"/>
      <c r="V7" s="10"/>
      <c r="W7" s="10"/>
      <c r="X7" s="12">
        <v>3</v>
      </c>
      <c r="Y7" s="12">
        <v>2</v>
      </c>
      <c r="Z7" s="12">
        <v>0</v>
      </c>
      <c r="AA7" s="12">
        <v>0</v>
      </c>
      <c r="AC7" s="10"/>
      <c r="AD7" s="10"/>
      <c r="AE7" s="12">
        <v>0</v>
      </c>
      <c r="AF7" s="12">
        <v>1</v>
      </c>
      <c r="AG7" s="12"/>
      <c r="AH7" s="12"/>
      <c r="AJ7" s="10"/>
      <c r="AK7" s="10"/>
      <c r="AL7" s="12">
        <v>0</v>
      </c>
      <c r="AM7" s="12">
        <v>3</v>
      </c>
      <c r="AN7" s="12"/>
      <c r="AO7" s="12"/>
      <c r="AQ7" s="10"/>
      <c r="AR7" s="10"/>
      <c r="AS7" s="12">
        <v>0</v>
      </c>
      <c r="AT7" s="12">
        <v>2</v>
      </c>
      <c r="AU7" s="12"/>
      <c r="AV7" s="12"/>
      <c r="AX7" s="10"/>
      <c r="AY7" s="10"/>
      <c r="AZ7" s="12">
        <v>0</v>
      </c>
      <c r="BA7" s="12">
        <v>2</v>
      </c>
      <c r="BB7" s="12"/>
      <c r="BC7" s="12"/>
      <c r="BE7" s="34"/>
      <c r="BF7" s="34"/>
      <c r="BG7" s="37">
        <v>0</v>
      </c>
      <c r="BH7" s="37">
        <v>1</v>
      </c>
      <c r="BI7" s="37"/>
      <c r="BJ7" s="37"/>
      <c r="BL7" s="34"/>
      <c r="BM7" s="34"/>
      <c r="BN7" s="37">
        <v>1</v>
      </c>
      <c r="BO7" s="37">
        <v>0</v>
      </c>
      <c r="BP7" s="37"/>
      <c r="BQ7" s="37"/>
      <c r="BS7" s="34"/>
      <c r="BT7" s="34"/>
      <c r="BU7" s="37">
        <v>2</v>
      </c>
      <c r="BV7" s="37">
        <v>0</v>
      </c>
      <c r="BW7" s="37"/>
      <c r="BX7" s="37"/>
      <c r="BZ7" s="34"/>
      <c r="CA7" s="34"/>
      <c r="CB7" s="37">
        <v>0</v>
      </c>
      <c r="CC7" s="37">
        <v>3</v>
      </c>
      <c r="CD7" s="37"/>
      <c r="CE7" s="37"/>
    </row>
    <row r="8" spans="1:83">
      <c r="A8" s="10"/>
      <c r="B8" s="10">
        <v>3</v>
      </c>
      <c r="C8" s="12" t="s">
        <v>96</v>
      </c>
      <c r="D8" s="12" t="s">
        <v>43</v>
      </c>
      <c r="E8" s="10"/>
      <c r="F8" s="10"/>
      <c r="H8" s="10"/>
      <c r="I8" s="10">
        <v>3</v>
      </c>
      <c r="J8" s="12" t="s">
        <v>83</v>
      </c>
      <c r="K8" s="12" t="s">
        <v>46</v>
      </c>
      <c r="L8" s="12"/>
      <c r="M8" s="12"/>
      <c r="O8" s="10"/>
      <c r="P8" s="10">
        <v>3</v>
      </c>
      <c r="Q8" s="12" t="s">
        <v>166</v>
      </c>
      <c r="R8" s="12" t="s">
        <v>44</v>
      </c>
      <c r="S8" s="12"/>
      <c r="T8" s="12"/>
      <c r="V8" s="10"/>
      <c r="W8" s="10">
        <v>3</v>
      </c>
      <c r="X8" s="12" t="s">
        <v>81</v>
      </c>
      <c r="Y8" s="12" t="s">
        <v>50</v>
      </c>
      <c r="Z8" s="12"/>
      <c r="AA8" s="12"/>
      <c r="AC8" s="10"/>
      <c r="AD8" s="10">
        <v>3</v>
      </c>
      <c r="AE8" s="12" t="s">
        <v>49</v>
      </c>
      <c r="AF8" s="12" t="s">
        <v>123</v>
      </c>
      <c r="AG8" s="12"/>
      <c r="AH8" s="12"/>
      <c r="AJ8" s="10"/>
      <c r="AK8" s="10">
        <v>3</v>
      </c>
      <c r="AL8" s="12" t="s">
        <v>52</v>
      </c>
      <c r="AM8" s="12" t="s">
        <v>145</v>
      </c>
      <c r="AN8" s="12"/>
      <c r="AO8" s="12"/>
      <c r="AQ8" s="10"/>
      <c r="AR8" s="10">
        <v>3</v>
      </c>
      <c r="AS8" s="12" t="s">
        <v>48</v>
      </c>
      <c r="AT8" s="12" t="s">
        <v>156</v>
      </c>
      <c r="AU8" s="12"/>
      <c r="AV8" s="12"/>
      <c r="AX8" s="10"/>
      <c r="AY8" s="10">
        <v>3</v>
      </c>
      <c r="AZ8" s="12" t="s">
        <v>156</v>
      </c>
      <c r="BA8" s="12" t="s">
        <v>48</v>
      </c>
      <c r="BB8" s="12"/>
      <c r="BC8" s="12"/>
      <c r="BE8" s="34"/>
      <c r="BF8" s="34">
        <v>3</v>
      </c>
      <c r="BG8" s="37" t="s">
        <v>57</v>
      </c>
      <c r="BH8" s="37" t="s">
        <v>144</v>
      </c>
      <c r="BI8" s="37"/>
      <c r="BJ8" s="37"/>
      <c r="BL8" s="34" t="s">
        <v>871</v>
      </c>
      <c r="BM8" s="34">
        <v>3</v>
      </c>
      <c r="BN8" s="37" t="s">
        <v>81</v>
      </c>
      <c r="BO8" s="37" t="s">
        <v>57</v>
      </c>
      <c r="BP8" s="37"/>
      <c r="BQ8" s="37"/>
      <c r="BS8" s="34"/>
      <c r="BT8" s="34">
        <v>3</v>
      </c>
      <c r="BU8" s="37" t="s">
        <v>44</v>
      </c>
      <c r="BV8" s="37" t="s">
        <v>145</v>
      </c>
      <c r="BW8" s="37"/>
      <c r="BX8" s="37"/>
      <c r="BZ8" s="34"/>
      <c r="CA8" s="34">
        <v>3</v>
      </c>
      <c r="CB8" s="37" t="s">
        <v>145</v>
      </c>
      <c r="CC8" s="37" t="s">
        <v>42</v>
      </c>
      <c r="CD8" s="37"/>
      <c r="CE8" s="37"/>
    </row>
    <row r="9" spans="1:83">
      <c r="A9" s="10"/>
      <c r="B9" s="10"/>
      <c r="C9" s="12">
        <v>1</v>
      </c>
      <c r="D9" s="12">
        <v>0</v>
      </c>
      <c r="E9" s="12"/>
      <c r="F9" s="10"/>
      <c r="H9" s="10"/>
      <c r="I9" s="10"/>
      <c r="J9" s="12">
        <v>2</v>
      </c>
      <c r="K9" s="12">
        <v>0</v>
      </c>
      <c r="L9" s="12"/>
      <c r="M9" s="12"/>
      <c r="O9" s="10"/>
      <c r="P9" s="10"/>
      <c r="Q9" s="12">
        <v>1</v>
      </c>
      <c r="R9" s="12">
        <v>0</v>
      </c>
      <c r="S9" s="12"/>
      <c r="T9" s="12"/>
      <c r="V9" s="10"/>
      <c r="W9" s="10"/>
      <c r="X9" s="12">
        <v>2</v>
      </c>
      <c r="Y9" s="12">
        <v>0</v>
      </c>
      <c r="Z9" s="12"/>
      <c r="AA9" s="12"/>
      <c r="AC9" s="10"/>
      <c r="AD9" s="10"/>
      <c r="AE9" s="12">
        <v>0</v>
      </c>
      <c r="AF9" s="12">
        <v>1</v>
      </c>
      <c r="AG9" s="12"/>
      <c r="AH9" s="12"/>
      <c r="AJ9" s="10"/>
      <c r="AK9" s="10"/>
      <c r="AL9" s="12">
        <v>0</v>
      </c>
      <c r="AM9" s="12">
        <v>1</v>
      </c>
      <c r="AN9" s="12"/>
      <c r="AO9" s="12"/>
      <c r="AQ9" s="10"/>
      <c r="AR9" s="10"/>
      <c r="AS9" s="12">
        <v>0</v>
      </c>
      <c r="AT9" s="12">
        <v>2</v>
      </c>
      <c r="AU9" s="12"/>
      <c r="AV9" s="12"/>
      <c r="AX9" s="10"/>
      <c r="AY9" s="10"/>
      <c r="AZ9" s="12">
        <v>3</v>
      </c>
      <c r="BA9" s="12">
        <v>0</v>
      </c>
      <c r="BB9" s="12"/>
      <c r="BC9" s="12"/>
      <c r="BE9" s="34"/>
      <c r="BF9" s="34"/>
      <c r="BG9" s="37">
        <v>0</v>
      </c>
      <c r="BH9" s="37">
        <v>2</v>
      </c>
      <c r="BI9" s="37"/>
      <c r="BJ9" s="37"/>
      <c r="BL9" s="34"/>
      <c r="BM9" s="34"/>
      <c r="BN9" s="37">
        <v>2</v>
      </c>
      <c r="BO9" s="37">
        <v>0</v>
      </c>
      <c r="BP9" s="37"/>
      <c r="BQ9" s="37"/>
      <c r="BS9" s="34"/>
      <c r="BT9" s="34"/>
      <c r="BU9" s="37">
        <v>0</v>
      </c>
      <c r="BV9" s="37">
        <v>2</v>
      </c>
      <c r="BW9" s="37"/>
      <c r="BX9" s="37"/>
      <c r="BZ9" s="34"/>
      <c r="CA9" s="34"/>
      <c r="CB9" s="37">
        <v>3</v>
      </c>
      <c r="CC9" s="37">
        <v>0</v>
      </c>
      <c r="CD9" s="37"/>
      <c r="CE9" s="37"/>
    </row>
    <row r="10" spans="1:83">
      <c r="A10" s="10"/>
      <c r="B10" s="10">
        <v>4</v>
      </c>
      <c r="C10" s="12" t="s">
        <v>83</v>
      </c>
      <c r="D10" s="12" t="s">
        <v>51</v>
      </c>
      <c r="E10" s="12"/>
      <c r="F10" s="10"/>
      <c r="H10" s="10" t="s">
        <v>155</v>
      </c>
      <c r="I10" s="10">
        <v>4</v>
      </c>
      <c r="J10" s="12" t="s">
        <v>96</v>
      </c>
      <c r="K10" s="12" t="s">
        <v>36</v>
      </c>
      <c r="L10" s="12"/>
      <c r="M10" s="12"/>
      <c r="O10" s="10"/>
      <c r="P10" s="10">
        <v>4</v>
      </c>
      <c r="Q10" s="12" t="s">
        <v>51</v>
      </c>
      <c r="R10" s="12" t="s">
        <v>124</v>
      </c>
      <c r="S10" s="12"/>
      <c r="T10" s="12"/>
      <c r="V10" s="10"/>
      <c r="W10" s="10">
        <v>4</v>
      </c>
      <c r="X10" s="12" t="s">
        <v>48</v>
      </c>
      <c r="Y10" s="12" t="s">
        <v>71</v>
      </c>
      <c r="Z10" s="12"/>
      <c r="AA10" s="12"/>
      <c r="AC10" s="10" t="s">
        <v>233</v>
      </c>
      <c r="AD10" s="10">
        <v>4</v>
      </c>
      <c r="AE10" s="12" t="s">
        <v>39</v>
      </c>
      <c r="AF10" s="12" t="s">
        <v>70</v>
      </c>
      <c r="AG10" s="12"/>
      <c r="AH10" s="12"/>
      <c r="AJ10" s="10"/>
      <c r="AK10" s="10">
        <v>4</v>
      </c>
      <c r="AL10" s="12" t="s">
        <v>111</v>
      </c>
      <c r="AM10" s="12" t="s">
        <v>43</v>
      </c>
      <c r="AN10" s="12"/>
      <c r="AO10" s="12"/>
      <c r="AQ10" s="10"/>
      <c r="AR10" s="10">
        <v>4</v>
      </c>
      <c r="AS10" s="12" t="s">
        <v>111</v>
      </c>
      <c r="AT10" s="12" t="s">
        <v>57</v>
      </c>
      <c r="AU10" s="12"/>
      <c r="AV10" s="12"/>
      <c r="AX10" s="10"/>
      <c r="AY10" s="10">
        <v>4</v>
      </c>
      <c r="AZ10" s="12" t="s">
        <v>38</v>
      </c>
      <c r="BA10" s="12" t="s">
        <v>144</v>
      </c>
      <c r="BB10" s="12"/>
      <c r="BC10" s="12"/>
      <c r="BE10" s="34" t="s">
        <v>140</v>
      </c>
      <c r="BF10" s="34">
        <v>4</v>
      </c>
      <c r="BG10" s="37" t="s">
        <v>71</v>
      </c>
      <c r="BH10" s="37" t="s">
        <v>65</v>
      </c>
      <c r="BI10" s="37"/>
      <c r="BJ10" s="37"/>
      <c r="BL10" s="34"/>
      <c r="BM10" s="34">
        <v>4</v>
      </c>
      <c r="BN10" s="37" t="s">
        <v>44</v>
      </c>
      <c r="BO10" s="37" t="s">
        <v>166</v>
      </c>
      <c r="BP10" s="37"/>
      <c r="BQ10" s="37"/>
      <c r="BS10" s="34"/>
      <c r="BT10" s="34">
        <v>4</v>
      </c>
      <c r="BU10" s="37" t="s">
        <v>45</v>
      </c>
      <c r="BV10" s="37" t="s">
        <v>71</v>
      </c>
      <c r="BW10" s="37"/>
      <c r="BX10" s="37"/>
      <c r="BZ10" s="34" t="s">
        <v>306</v>
      </c>
      <c r="CA10" s="34">
        <v>4</v>
      </c>
      <c r="CB10" s="37" t="s">
        <v>56</v>
      </c>
      <c r="CC10" s="37" t="s">
        <v>195</v>
      </c>
      <c r="CD10" s="37"/>
      <c r="CE10" s="37"/>
    </row>
    <row r="11" spans="1:83">
      <c r="A11" s="10"/>
      <c r="B11" s="10"/>
      <c r="C11" s="12">
        <v>3</v>
      </c>
      <c r="D11" s="12">
        <v>0</v>
      </c>
      <c r="E11" s="12"/>
      <c r="F11" s="10"/>
      <c r="H11" s="10"/>
      <c r="I11" s="10"/>
      <c r="J11" s="12">
        <v>1</v>
      </c>
      <c r="K11" s="12">
        <v>0</v>
      </c>
      <c r="L11" s="12"/>
      <c r="M11" s="12"/>
      <c r="O11" s="10"/>
      <c r="P11" s="10"/>
      <c r="Q11" s="12">
        <v>0</v>
      </c>
      <c r="R11" s="12">
        <v>2</v>
      </c>
      <c r="S11" s="12"/>
      <c r="T11" s="12"/>
      <c r="V11" s="10"/>
      <c r="W11" s="10"/>
      <c r="X11" s="12">
        <v>0</v>
      </c>
      <c r="Y11" s="12">
        <v>1</v>
      </c>
      <c r="Z11" s="12"/>
      <c r="AA11" s="12"/>
      <c r="AC11" s="10" t="s">
        <v>234</v>
      </c>
      <c r="AD11" s="10"/>
      <c r="AE11" s="12">
        <v>0</v>
      </c>
      <c r="AF11" s="12">
        <v>1</v>
      </c>
      <c r="AG11" s="12"/>
      <c r="AH11" s="12"/>
      <c r="AJ11" s="10"/>
      <c r="AK11" s="10"/>
      <c r="AL11" s="12">
        <v>2</v>
      </c>
      <c r="AM11" s="12">
        <v>0</v>
      </c>
      <c r="AN11" s="12"/>
      <c r="AO11" s="12"/>
      <c r="AQ11" s="10"/>
      <c r="AR11" s="10"/>
      <c r="AS11" s="12">
        <v>2</v>
      </c>
      <c r="AT11" s="12">
        <v>0</v>
      </c>
      <c r="AU11" s="12"/>
      <c r="AV11" s="12"/>
      <c r="AX11" s="10"/>
      <c r="AY11" s="10"/>
      <c r="AZ11" s="12">
        <v>0</v>
      </c>
      <c r="BA11" s="12">
        <v>1</v>
      </c>
      <c r="BB11" s="12"/>
      <c r="BC11" s="12"/>
      <c r="BE11" s="34"/>
      <c r="BF11" s="34"/>
      <c r="BG11" s="37">
        <v>3</v>
      </c>
      <c r="BH11" s="37">
        <v>0</v>
      </c>
      <c r="BI11" s="37"/>
      <c r="BJ11" s="37"/>
      <c r="BL11" s="34"/>
      <c r="BM11" s="34"/>
      <c r="BN11" s="37">
        <v>0</v>
      </c>
      <c r="BO11" s="37">
        <v>2</v>
      </c>
      <c r="BP11" s="37"/>
      <c r="BQ11" s="37"/>
      <c r="BS11" s="34"/>
      <c r="BT11" s="34"/>
      <c r="BU11" s="37">
        <v>0</v>
      </c>
      <c r="BV11" s="37">
        <v>1</v>
      </c>
      <c r="BW11" s="37"/>
      <c r="BX11" s="37"/>
      <c r="BZ11" s="34"/>
      <c r="CA11" s="34"/>
      <c r="CB11" s="37">
        <v>0</v>
      </c>
      <c r="CC11" s="37">
        <v>1</v>
      </c>
      <c r="CD11" s="37"/>
      <c r="CE11" s="37"/>
    </row>
    <row r="12" spans="1:83">
      <c r="A12" s="10" t="s">
        <v>87</v>
      </c>
      <c r="B12" s="10">
        <v>5</v>
      </c>
      <c r="C12" s="12" t="s">
        <v>70</v>
      </c>
      <c r="D12" s="12" t="s">
        <v>49</v>
      </c>
      <c r="E12" s="12"/>
      <c r="F12" s="10"/>
      <c r="H12" s="10" t="s">
        <v>155</v>
      </c>
      <c r="I12" s="10">
        <v>5</v>
      </c>
      <c r="J12" s="12" t="s">
        <v>47</v>
      </c>
      <c r="K12" s="12" t="s">
        <v>45</v>
      </c>
      <c r="L12" s="12" t="s">
        <v>88</v>
      </c>
      <c r="M12" s="12"/>
      <c r="O12" s="10" t="s">
        <v>139</v>
      </c>
      <c r="P12" s="10">
        <v>5</v>
      </c>
      <c r="Q12" s="12" t="s">
        <v>39</v>
      </c>
      <c r="R12" s="12" t="s">
        <v>81</v>
      </c>
      <c r="S12" s="12" t="s">
        <v>36</v>
      </c>
      <c r="T12" s="12"/>
      <c r="V12" s="10" t="s">
        <v>87</v>
      </c>
      <c r="W12" s="10">
        <v>5</v>
      </c>
      <c r="X12" s="12" t="s">
        <v>83</v>
      </c>
      <c r="Y12" s="12" t="s">
        <v>47</v>
      </c>
      <c r="Z12" s="12"/>
      <c r="AA12" s="12"/>
      <c r="AC12" s="10" t="s">
        <v>233</v>
      </c>
      <c r="AD12" s="10">
        <v>5</v>
      </c>
      <c r="AE12" s="12" t="s">
        <v>150</v>
      </c>
      <c r="AF12" s="12" t="s">
        <v>50</v>
      </c>
      <c r="AG12" s="12"/>
      <c r="AH12" s="12"/>
      <c r="AJ12" s="10" t="s">
        <v>139</v>
      </c>
      <c r="AK12" s="10">
        <v>5</v>
      </c>
      <c r="AL12" s="12" t="s">
        <v>141</v>
      </c>
      <c r="AM12" s="12" t="s">
        <v>39</v>
      </c>
      <c r="AN12" s="12"/>
      <c r="AO12" s="12"/>
      <c r="AQ12" s="10"/>
      <c r="AR12" s="10">
        <v>5</v>
      </c>
      <c r="AS12" s="12" t="s">
        <v>83</v>
      </c>
      <c r="AT12" s="12" t="s">
        <v>45</v>
      </c>
      <c r="AU12" s="12"/>
      <c r="AV12" s="12"/>
      <c r="AX12" s="10" t="s">
        <v>306</v>
      </c>
      <c r="AY12" s="10">
        <v>5</v>
      </c>
      <c r="AZ12" s="12" t="s">
        <v>123</v>
      </c>
      <c r="BA12" s="12" t="s">
        <v>37</v>
      </c>
      <c r="BB12" s="12"/>
      <c r="BC12" s="12"/>
      <c r="BE12" s="34"/>
      <c r="BF12" s="34">
        <v>5</v>
      </c>
      <c r="BG12" s="37" t="s">
        <v>117</v>
      </c>
      <c r="BH12" s="37" t="s">
        <v>46</v>
      </c>
      <c r="BI12" s="37"/>
      <c r="BJ12" s="37"/>
      <c r="BL12" s="34" t="s">
        <v>140</v>
      </c>
      <c r="BM12" s="34">
        <v>5</v>
      </c>
      <c r="BN12" s="37" t="s">
        <v>145</v>
      </c>
      <c r="BO12" s="37" t="s">
        <v>60</v>
      </c>
      <c r="BP12" s="37"/>
      <c r="BQ12" s="37"/>
      <c r="BS12" s="34" t="s">
        <v>139</v>
      </c>
      <c r="BT12" s="34">
        <v>5</v>
      </c>
      <c r="BU12" s="37" t="s">
        <v>38</v>
      </c>
      <c r="BV12" s="37" t="s">
        <v>166</v>
      </c>
      <c r="BW12" s="37"/>
      <c r="BX12" s="37"/>
      <c r="BZ12" s="34" t="s">
        <v>306</v>
      </c>
      <c r="CA12" s="34">
        <v>5</v>
      </c>
      <c r="CB12" s="37" t="s">
        <v>150</v>
      </c>
      <c r="CC12" s="37" t="s">
        <v>51</v>
      </c>
      <c r="CD12" s="37"/>
      <c r="CE12" s="37"/>
    </row>
    <row r="13" spans="1:83">
      <c r="A13" s="10"/>
      <c r="B13" s="10"/>
      <c r="C13" s="12">
        <v>1</v>
      </c>
      <c r="D13" s="12">
        <v>0</v>
      </c>
      <c r="E13" s="12"/>
      <c r="F13" s="10"/>
      <c r="H13" s="10"/>
      <c r="I13" s="10"/>
      <c r="J13" s="12">
        <v>0</v>
      </c>
      <c r="K13" s="12">
        <v>0</v>
      </c>
      <c r="L13" s="12">
        <v>1</v>
      </c>
      <c r="M13" s="12"/>
      <c r="O13" s="10"/>
      <c r="P13" s="10"/>
      <c r="Q13" s="12">
        <v>0</v>
      </c>
      <c r="R13" s="12">
        <v>1</v>
      </c>
      <c r="S13" s="12">
        <v>-1</v>
      </c>
      <c r="T13" s="12"/>
      <c r="V13" s="10"/>
      <c r="W13" s="10"/>
      <c r="X13" s="12">
        <v>1</v>
      </c>
      <c r="Y13" s="12">
        <v>0</v>
      </c>
      <c r="Z13" s="12"/>
      <c r="AA13" s="12"/>
      <c r="AC13" s="10" t="s">
        <v>234</v>
      </c>
      <c r="AD13" s="10"/>
      <c r="AE13" s="12">
        <v>2</v>
      </c>
      <c r="AF13" s="12">
        <v>0</v>
      </c>
      <c r="AG13" s="12"/>
      <c r="AH13" s="12"/>
      <c r="AJ13" s="10" t="s">
        <v>256</v>
      </c>
      <c r="AK13" s="10"/>
      <c r="AL13" s="12">
        <v>0</v>
      </c>
      <c r="AM13" s="12">
        <v>0</v>
      </c>
      <c r="AN13" s="12"/>
      <c r="AO13" s="12"/>
      <c r="AQ13" s="10"/>
      <c r="AR13" s="10"/>
      <c r="AS13" s="12">
        <v>2</v>
      </c>
      <c r="AT13" s="12">
        <v>0</v>
      </c>
      <c r="AU13" s="12"/>
      <c r="AV13" s="12"/>
      <c r="AX13" s="10"/>
      <c r="AY13" s="10"/>
      <c r="AZ13" s="12">
        <v>2</v>
      </c>
      <c r="BA13" s="12">
        <v>0</v>
      </c>
      <c r="BB13" s="12"/>
      <c r="BC13" s="12"/>
      <c r="BE13" s="34"/>
      <c r="BF13" s="34"/>
      <c r="BG13" s="37">
        <v>0</v>
      </c>
      <c r="BH13" s="37">
        <v>1</v>
      </c>
      <c r="BI13" s="37"/>
      <c r="BJ13" s="37"/>
      <c r="BL13" s="34"/>
      <c r="BM13" s="34"/>
      <c r="BN13" s="37">
        <v>3</v>
      </c>
      <c r="BO13" s="37">
        <v>0</v>
      </c>
      <c r="BP13" s="37"/>
      <c r="BQ13" s="37"/>
      <c r="BS13" s="34"/>
      <c r="BT13" s="34"/>
      <c r="BU13" s="37">
        <v>-1</v>
      </c>
      <c r="BV13" s="37">
        <v>1</v>
      </c>
      <c r="BW13" s="37"/>
      <c r="BX13" s="37"/>
      <c r="BZ13" s="34"/>
      <c r="CA13" s="34"/>
      <c r="CB13" s="37">
        <v>1</v>
      </c>
      <c r="CC13" s="37">
        <v>0</v>
      </c>
      <c r="CD13" s="37"/>
      <c r="CE13" s="37"/>
    </row>
    <row r="14" spans="1:83">
      <c r="Q14" s="6"/>
      <c r="R14" s="6"/>
      <c r="S14" s="6"/>
      <c r="T14" s="6"/>
      <c r="X14" s="6"/>
      <c r="Y14" s="6"/>
      <c r="Z14" s="6"/>
      <c r="AA14" s="6"/>
      <c r="AE14" s="6"/>
      <c r="AF14" s="6"/>
      <c r="AG14" s="6"/>
      <c r="AH14" s="6"/>
      <c r="AL14" s="6"/>
      <c r="AM14" s="6"/>
      <c r="AN14" s="6"/>
      <c r="AO14" s="6"/>
      <c r="AS14" s="6"/>
      <c r="AT14" s="6"/>
      <c r="AU14" s="6"/>
      <c r="AV14" s="6"/>
      <c r="AZ14" s="6"/>
      <c r="BA14" s="6"/>
      <c r="BB14" s="6"/>
      <c r="BC14" s="6"/>
      <c r="BE14" s="32"/>
      <c r="BF14" s="32"/>
      <c r="BG14" s="33"/>
      <c r="BH14" s="33"/>
      <c r="BI14" s="33"/>
      <c r="BJ14" s="33"/>
      <c r="BL14" s="32"/>
      <c r="BM14" s="32"/>
      <c r="BN14" s="33"/>
      <c r="BO14" s="33"/>
      <c r="BP14" s="33"/>
      <c r="BQ14" s="33"/>
      <c r="BS14" s="32"/>
      <c r="BT14" s="32"/>
      <c r="BU14" s="33"/>
      <c r="BV14" s="33"/>
      <c r="BW14" s="33"/>
      <c r="BX14" s="33"/>
      <c r="BZ14" s="32"/>
      <c r="CA14" s="32"/>
      <c r="CB14" s="33"/>
      <c r="CC14" s="33"/>
      <c r="CD14" s="33"/>
      <c r="CE14" s="33"/>
    </row>
    <row r="15" spans="1:83" ht="21">
      <c r="A15" s="7"/>
      <c r="B15" s="8" t="s">
        <v>73</v>
      </c>
      <c r="C15" s="28" t="s">
        <v>74</v>
      </c>
      <c r="D15" s="9"/>
      <c r="E15" s="7"/>
      <c r="F15" s="7"/>
      <c r="H15" s="7"/>
      <c r="I15" s="8" t="s">
        <v>73</v>
      </c>
      <c r="J15" s="28" t="s">
        <v>159</v>
      </c>
      <c r="K15" s="9"/>
      <c r="L15" s="9"/>
      <c r="M15" s="9"/>
      <c r="O15" s="7"/>
      <c r="P15" s="8" t="s">
        <v>73</v>
      </c>
      <c r="Q15" s="28" t="s">
        <v>178</v>
      </c>
      <c r="R15" s="9"/>
      <c r="S15" s="9"/>
      <c r="T15" s="9"/>
      <c r="V15" s="7"/>
      <c r="W15" s="8" t="s">
        <v>73</v>
      </c>
      <c r="X15" s="28" t="s">
        <v>213</v>
      </c>
      <c r="Y15" s="9"/>
      <c r="Z15" s="9"/>
      <c r="AA15" s="9"/>
      <c r="AC15" s="7"/>
      <c r="AD15" s="8" t="s">
        <v>73</v>
      </c>
      <c r="AE15" s="28" t="s">
        <v>235</v>
      </c>
      <c r="AF15" s="9"/>
      <c r="AG15" s="9"/>
      <c r="AH15" s="9"/>
      <c r="AJ15" s="7"/>
      <c r="AK15" s="8" t="s">
        <v>73</v>
      </c>
      <c r="AL15" s="28" t="s">
        <v>253</v>
      </c>
      <c r="AM15" s="9"/>
      <c r="AN15" s="9"/>
      <c r="AO15" s="9"/>
      <c r="AQ15" s="7"/>
      <c r="AR15" s="8" t="s">
        <v>73</v>
      </c>
      <c r="AS15" s="28" t="s">
        <v>133</v>
      </c>
      <c r="AT15" s="9"/>
      <c r="AU15" s="9"/>
      <c r="AV15" s="9"/>
      <c r="AX15" s="7"/>
      <c r="AY15" s="8" t="s">
        <v>73</v>
      </c>
      <c r="AZ15" s="28" t="s">
        <v>161</v>
      </c>
      <c r="BA15" s="9"/>
      <c r="BB15" s="9"/>
      <c r="BC15" s="9"/>
      <c r="BE15" s="38"/>
      <c r="BF15" s="39" t="s">
        <v>189</v>
      </c>
      <c r="BG15" s="40" t="s">
        <v>718</v>
      </c>
      <c r="BH15" s="41"/>
      <c r="BI15" s="41"/>
      <c r="BJ15" s="41"/>
      <c r="BL15" s="38"/>
      <c r="BM15" s="39" t="s">
        <v>189</v>
      </c>
      <c r="BN15" s="40" t="s">
        <v>214</v>
      </c>
      <c r="BO15" s="41"/>
      <c r="BP15" s="41"/>
      <c r="BQ15" s="41"/>
      <c r="BS15" s="38"/>
      <c r="BT15" s="39" t="s">
        <v>189</v>
      </c>
      <c r="BU15" s="40" t="s">
        <v>237</v>
      </c>
      <c r="BV15" s="41"/>
      <c r="BW15" s="41"/>
      <c r="BX15" s="41"/>
      <c r="BZ15" s="38"/>
      <c r="CA15" s="39" t="s">
        <v>189</v>
      </c>
      <c r="CB15" s="40" t="s">
        <v>257</v>
      </c>
      <c r="CC15" s="41"/>
      <c r="CD15" s="41"/>
      <c r="CE15" s="41"/>
    </row>
    <row r="16" spans="1:83">
      <c r="A16" s="7" t="s">
        <v>146</v>
      </c>
      <c r="B16" s="7">
        <v>1</v>
      </c>
      <c r="C16" s="9" t="s">
        <v>110</v>
      </c>
      <c r="D16" s="9" t="s">
        <v>62</v>
      </c>
      <c r="E16" s="9"/>
      <c r="F16" s="7"/>
      <c r="H16" s="7"/>
      <c r="I16" s="7">
        <v>1</v>
      </c>
      <c r="J16" s="9" t="s">
        <v>112</v>
      </c>
      <c r="K16" s="9" t="s">
        <v>58</v>
      </c>
      <c r="L16" s="9"/>
      <c r="M16" s="9"/>
      <c r="O16" s="7"/>
      <c r="P16" s="7">
        <v>1</v>
      </c>
      <c r="Q16" s="9" t="s">
        <v>60</v>
      </c>
      <c r="R16" s="9" t="s">
        <v>75</v>
      </c>
      <c r="S16" s="9"/>
      <c r="T16" s="9"/>
      <c r="V16" s="7" t="s">
        <v>224</v>
      </c>
      <c r="W16" s="7">
        <v>1</v>
      </c>
      <c r="X16" s="9" t="s">
        <v>122</v>
      </c>
      <c r="Y16" s="9" t="s">
        <v>60</v>
      </c>
      <c r="Z16" s="9"/>
      <c r="AA16" s="9"/>
      <c r="AC16" s="7"/>
      <c r="AD16" s="7">
        <v>1</v>
      </c>
      <c r="AE16" s="9" t="s">
        <v>203</v>
      </c>
      <c r="AF16" s="9" t="s">
        <v>59</v>
      </c>
      <c r="AG16" s="9"/>
      <c r="AH16" s="9"/>
      <c r="AJ16" s="7"/>
      <c r="AK16" s="7">
        <v>1</v>
      </c>
      <c r="AL16" s="9" t="s">
        <v>40</v>
      </c>
      <c r="AM16" s="9" t="s">
        <v>143</v>
      </c>
      <c r="AN16" s="9"/>
      <c r="AO16" s="9"/>
      <c r="AQ16" s="7" t="s">
        <v>278</v>
      </c>
      <c r="AR16" s="7">
        <v>1</v>
      </c>
      <c r="AS16" s="9" t="s">
        <v>67</v>
      </c>
      <c r="AT16" s="9" t="s">
        <v>72</v>
      </c>
      <c r="AU16" s="9"/>
      <c r="AV16" s="9"/>
      <c r="AX16" s="7" t="s">
        <v>308</v>
      </c>
      <c r="AY16" s="7">
        <v>1</v>
      </c>
      <c r="AZ16" s="9" t="s">
        <v>144</v>
      </c>
      <c r="BA16" s="9" t="s">
        <v>40</v>
      </c>
      <c r="BB16" s="9"/>
      <c r="BC16" s="9"/>
      <c r="BE16" s="38"/>
      <c r="BF16" s="38">
        <v>1</v>
      </c>
      <c r="BG16" s="41" t="s">
        <v>36</v>
      </c>
      <c r="BH16" s="41" t="s">
        <v>81</v>
      </c>
      <c r="BI16" s="41"/>
      <c r="BJ16" s="41"/>
      <c r="BL16" s="38"/>
      <c r="BM16" s="38">
        <v>1</v>
      </c>
      <c r="BN16" s="41" t="s">
        <v>62</v>
      </c>
      <c r="BO16" s="41" t="s">
        <v>110</v>
      </c>
      <c r="BP16" s="41"/>
      <c r="BQ16" s="41"/>
      <c r="BS16" s="38"/>
      <c r="BT16" s="38">
        <v>1</v>
      </c>
      <c r="BU16" s="41" t="s">
        <v>67</v>
      </c>
      <c r="BV16" s="41" t="s">
        <v>147</v>
      </c>
      <c r="BW16" s="41"/>
      <c r="BX16" s="41"/>
      <c r="BZ16" s="38"/>
      <c r="CA16" s="38">
        <v>1</v>
      </c>
      <c r="CB16" s="41" t="s">
        <v>147</v>
      </c>
      <c r="CC16" s="41" t="s">
        <v>50</v>
      </c>
      <c r="CD16" s="41"/>
      <c r="CE16" s="41"/>
    </row>
    <row r="17" spans="1:83">
      <c r="A17" s="7"/>
      <c r="B17" s="7"/>
      <c r="C17" s="9">
        <v>1</v>
      </c>
      <c r="D17" s="9">
        <v>0</v>
      </c>
      <c r="E17" s="9"/>
      <c r="F17" s="7"/>
      <c r="H17" s="7"/>
      <c r="I17" s="7"/>
      <c r="J17" s="9">
        <v>2</v>
      </c>
      <c r="K17" s="9">
        <v>0</v>
      </c>
      <c r="L17" s="9"/>
      <c r="M17" s="9"/>
      <c r="O17" s="7"/>
      <c r="P17" s="7"/>
      <c r="Q17" s="9">
        <v>0</v>
      </c>
      <c r="R17" s="9">
        <v>2</v>
      </c>
      <c r="S17" s="9"/>
      <c r="T17" s="9"/>
      <c r="V17" s="7"/>
      <c r="W17" s="7"/>
      <c r="X17" s="9">
        <v>2</v>
      </c>
      <c r="Y17" s="9">
        <v>0</v>
      </c>
      <c r="Z17" s="9"/>
      <c r="AA17" s="9"/>
      <c r="AC17" s="7"/>
      <c r="AD17" s="7"/>
      <c r="AE17" s="9">
        <v>2</v>
      </c>
      <c r="AF17" s="9">
        <v>0</v>
      </c>
      <c r="AG17" s="9"/>
      <c r="AH17" s="9"/>
      <c r="AJ17" s="7"/>
      <c r="AK17" s="7"/>
      <c r="AL17" s="9">
        <v>0</v>
      </c>
      <c r="AM17" s="9">
        <v>1</v>
      </c>
      <c r="AN17" s="9"/>
      <c r="AO17" s="9"/>
      <c r="AQ17" s="7"/>
      <c r="AR17" s="7"/>
      <c r="AS17" s="9">
        <v>0</v>
      </c>
      <c r="AT17" s="9">
        <v>2</v>
      </c>
      <c r="AU17" s="9"/>
      <c r="AV17" s="9"/>
      <c r="AX17" s="7"/>
      <c r="AY17" s="7"/>
      <c r="AZ17" s="9">
        <v>3</v>
      </c>
      <c r="BA17" s="9">
        <v>0</v>
      </c>
      <c r="BB17" s="9"/>
      <c r="BC17" s="9"/>
      <c r="BE17" s="38"/>
      <c r="BF17" s="38"/>
      <c r="BG17" s="41">
        <v>0</v>
      </c>
      <c r="BH17" s="41">
        <v>1</v>
      </c>
      <c r="BI17" s="41"/>
      <c r="BJ17" s="41"/>
      <c r="BL17" s="38"/>
      <c r="BM17" s="38"/>
      <c r="BN17" s="41">
        <v>0</v>
      </c>
      <c r="BO17" s="41">
        <v>1</v>
      </c>
      <c r="BP17" s="41"/>
      <c r="BQ17" s="41"/>
      <c r="BS17" s="38"/>
      <c r="BT17" s="38"/>
      <c r="BU17" s="41">
        <v>0</v>
      </c>
      <c r="BV17" s="41">
        <v>2</v>
      </c>
      <c r="BW17" s="41"/>
      <c r="BX17" s="41"/>
      <c r="BZ17" s="38"/>
      <c r="CA17" s="38"/>
      <c r="CB17" s="41">
        <v>2</v>
      </c>
      <c r="CC17" s="41">
        <v>0</v>
      </c>
      <c r="CD17" s="41"/>
      <c r="CE17" s="41"/>
    </row>
    <row r="18" spans="1:83">
      <c r="A18" s="7"/>
      <c r="B18" s="7">
        <v>2</v>
      </c>
      <c r="C18" s="9" t="s">
        <v>111</v>
      </c>
      <c r="D18" s="9" t="s">
        <v>67</v>
      </c>
      <c r="E18" s="9"/>
      <c r="F18" s="7"/>
      <c r="H18" s="7"/>
      <c r="I18" s="7">
        <v>2</v>
      </c>
      <c r="J18" s="9" t="s">
        <v>110</v>
      </c>
      <c r="K18" s="9" t="s">
        <v>59</v>
      </c>
      <c r="L18" s="9"/>
      <c r="M18" s="9"/>
      <c r="O18" s="7"/>
      <c r="P18" s="7">
        <v>2</v>
      </c>
      <c r="Q18" s="9" t="s">
        <v>151</v>
      </c>
      <c r="R18" s="9" t="s">
        <v>62</v>
      </c>
      <c r="S18" s="9"/>
      <c r="T18" s="9"/>
      <c r="V18" s="7"/>
      <c r="W18" s="7">
        <v>2</v>
      </c>
      <c r="X18" s="9" t="s">
        <v>72</v>
      </c>
      <c r="Y18" s="9" t="s">
        <v>64</v>
      </c>
      <c r="Z18" s="9"/>
      <c r="AA18" s="9"/>
      <c r="AC18" s="7" t="s">
        <v>236</v>
      </c>
      <c r="AD18" s="7">
        <v>2</v>
      </c>
      <c r="AE18" s="9" t="s">
        <v>38</v>
      </c>
      <c r="AF18" s="9" t="s">
        <v>163</v>
      </c>
      <c r="AG18" s="9"/>
      <c r="AH18" s="9"/>
      <c r="AJ18" s="7" t="s">
        <v>254</v>
      </c>
      <c r="AK18" s="7">
        <v>2</v>
      </c>
      <c r="AL18" s="9" t="s">
        <v>117</v>
      </c>
      <c r="AM18" s="9" t="s">
        <v>50</v>
      </c>
      <c r="AN18" s="9"/>
      <c r="AO18" s="9"/>
      <c r="AQ18" s="7" t="s">
        <v>270</v>
      </c>
      <c r="AR18" s="7">
        <v>2</v>
      </c>
      <c r="AS18" s="9" t="s">
        <v>122</v>
      </c>
      <c r="AT18" s="9" t="s">
        <v>59</v>
      </c>
      <c r="AU18" s="9"/>
      <c r="AV18" s="9"/>
      <c r="AX18" s="7"/>
      <c r="AY18" s="7">
        <v>2</v>
      </c>
      <c r="AZ18" s="9" t="s">
        <v>88</v>
      </c>
      <c r="BA18" s="9" t="s">
        <v>59</v>
      </c>
      <c r="BB18" s="9"/>
      <c r="BC18" s="9"/>
      <c r="BE18" s="38"/>
      <c r="BF18" s="38">
        <v>2</v>
      </c>
      <c r="BG18" s="41" t="s">
        <v>59</v>
      </c>
      <c r="BH18" s="41" t="s">
        <v>110</v>
      </c>
      <c r="BI18" s="41"/>
      <c r="BJ18" s="41"/>
      <c r="BL18" s="38"/>
      <c r="BM18" s="38">
        <v>2</v>
      </c>
      <c r="BN18" s="41" t="s">
        <v>143</v>
      </c>
      <c r="BO18" s="41" t="s">
        <v>24</v>
      </c>
      <c r="BP18" s="41"/>
      <c r="BQ18" s="41"/>
      <c r="BS18" s="38"/>
      <c r="BT18" s="38">
        <v>2</v>
      </c>
      <c r="BU18" s="41" t="s">
        <v>50</v>
      </c>
      <c r="BV18" s="41" t="s">
        <v>70</v>
      </c>
      <c r="BW18" s="41"/>
      <c r="BX18" s="41"/>
      <c r="BZ18" s="38"/>
      <c r="CA18" s="38">
        <v>2</v>
      </c>
      <c r="CB18" s="41" t="s">
        <v>203</v>
      </c>
      <c r="CC18" s="41" t="s">
        <v>67</v>
      </c>
      <c r="CD18" s="41"/>
      <c r="CE18" s="41"/>
    </row>
    <row r="19" spans="1:83">
      <c r="A19" s="7"/>
      <c r="B19" s="7"/>
      <c r="C19" s="9">
        <v>1</v>
      </c>
      <c r="D19" s="9">
        <v>0</v>
      </c>
      <c r="E19" s="9"/>
      <c r="F19" s="7"/>
      <c r="H19" s="7"/>
      <c r="I19" s="7"/>
      <c r="J19" s="9">
        <v>1</v>
      </c>
      <c r="K19" s="9">
        <v>0</v>
      </c>
      <c r="L19" s="9"/>
      <c r="M19" s="9"/>
      <c r="O19" s="7"/>
      <c r="P19" s="7"/>
      <c r="Q19" s="9">
        <v>1</v>
      </c>
      <c r="R19" s="9">
        <v>0</v>
      </c>
      <c r="S19" s="9"/>
      <c r="T19" s="9"/>
      <c r="V19" s="7"/>
      <c r="W19" s="7"/>
      <c r="X19" s="9">
        <v>1</v>
      </c>
      <c r="Y19" s="9">
        <v>0</v>
      </c>
      <c r="Z19" s="9"/>
      <c r="AA19" s="9"/>
      <c r="AC19" s="7"/>
      <c r="AD19" s="7"/>
      <c r="AE19" s="9">
        <v>0</v>
      </c>
      <c r="AF19" s="9">
        <v>2</v>
      </c>
      <c r="AG19" s="9"/>
      <c r="AH19" s="9"/>
      <c r="AJ19" s="7"/>
      <c r="AK19" s="7"/>
      <c r="AL19" s="9">
        <v>3</v>
      </c>
      <c r="AM19" s="9">
        <v>0</v>
      </c>
      <c r="AN19" s="9"/>
      <c r="AO19" s="9"/>
      <c r="AQ19" s="7" t="s">
        <v>287</v>
      </c>
      <c r="AR19" s="7"/>
      <c r="AS19" s="9">
        <v>1</v>
      </c>
      <c r="AT19" s="9">
        <v>0</v>
      </c>
      <c r="AU19" s="9"/>
      <c r="AV19" s="9"/>
      <c r="AX19" s="7"/>
      <c r="AY19" s="7"/>
      <c r="AZ19" s="9">
        <v>2</v>
      </c>
      <c r="BA19" s="9">
        <v>0</v>
      </c>
      <c r="BB19" s="9"/>
      <c r="BC19" s="9"/>
      <c r="BE19" s="38"/>
      <c r="BF19" s="38"/>
      <c r="BG19" s="41">
        <v>0</v>
      </c>
      <c r="BH19" s="41">
        <v>1</v>
      </c>
      <c r="BI19" s="41"/>
      <c r="BJ19" s="41"/>
      <c r="BL19" s="38"/>
      <c r="BM19" s="38"/>
      <c r="BN19" s="41">
        <v>2</v>
      </c>
      <c r="BO19" s="41">
        <v>0</v>
      </c>
      <c r="BP19" s="41"/>
      <c r="BQ19" s="41"/>
      <c r="BS19" s="38"/>
      <c r="BT19" s="38"/>
      <c r="BU19" s="41">
        <v>0</v>
      </c>
      <c r="BV19" s="41">
        <v>1</v>
      </c>
      <c r="BW19" s="41"/>
      <c r="BX19" s="41"/>
      <c r="BZ19" s="38"/>
      <c r="CA19" s="38"/>
      <c r="CB19" s="41">
        <v>3</v>
      </c>
      <c r="CC19" s="41">
        <v>0</v>
      </c>
      <c r="CD19" s="41"/>
      <c r="CE19" s="41"/>
    </row>
    <row r="20" spans="1:83">
      <c r="A20" s="7"/>
      <c r="B20" s="7">
        <v>3</v>
      </c>
      <c r="C20" s="9" t="s">
        <v>59</v>
      </c>
      <c r="D20" s="9" t="s">
        <v>112</v>
      </c>
      <c r="E20" s="7"/>
      <c r="F20" s="7"/>
      <c r="H20" s="7"/>
      <c r="I20" s="7">
        <v>3</v>
      </c>
      <c r="J20" s="9" t="s">
        <v>54</v>
      </c>
      <c r="K20" s="9" t="s">
        <v>111</v>
      </c>
      <c r="L20" s="9"/>
      <c r="M20" s="9"/>
      <c r="O20" s="7" t="s">
        <v>327</v>
      </c>
      <c r="P20" s="7">
        <v>3</v>
      </c>
      <c r="Q20" s="9" t="s">
        <v>138</v>
      </c>
      <c r="R20" s="23" t="s">
        <v>141</v>
      </c>
      <c r="S20" s="9" t="s">
        <v>59</v>
      </c>
      <c r="T20" s="9" t="s">
        <v>67</v>
      </c>
      <c r="V20" s="7"/>
      <c r="W20" s="7">
        <v>3</v>
      </c>
      <c r="X20" s="9" t="s">
        <v>118</v>
      </c>
      <c r="Y20" s="9" t="s">
        <v>67</v>
      </c>
      <c r="Z20" s="9"/>
      <c r="AA20" s="9"/>
      <c r="AC20" s="7"/>
      <c r="AD20" s="7">
        <v>3</v>
      </c>
      <c r="AE20" s="9" t="s">
        <v>61</v>
      </c>
      <c r="AF20" s="9" t="s">
        <v>151</v>
      </c>
      <c r="AG20" s="9"/>
      <c r="AH20" s="9"/>
      <c r="AJ20" s="7"/>
      <c r="AK20" s="7">
        <v>3</v>
      </c>
      <c r="AL20" s="9" t="s">
        <v>92</v>
      </c>
      <c r="AM20" s="9" t="s">
        <v>58</v>
      </c>
      <c r="AN20" s="9"/>
      <c r="AO20" s="9"/>
      <c r="AQ20" s="7" t="s">
        <v>271</v>
      </c>
      <c r="AR20" s="7">
        <v>3</v>
      </c>
      <c r="AS20" s="9" t="s">
        <v>41</v>
      </c>
      <c r="AT20" s="9" t="s">
        <v>169</v>
      </c>
      <c r="AU20" s="9"/>
      <c r="AV20" s="9"/>
      <c r="AX20" s="7" t="s">
        <v>307</v>
      </c>
      <c r="AY20" s="7">
        <v>3</v>
      </c>
      <c r="AZ20" s="9" t="s">
        <v>70</v>
      </c>
      <c r="BA20" s="9" t="s">
        <v>36</v>
      </c>
      <c r="BB20" s="9"/>
      <c r="BC20" s="9"/>
      <c r="BE20" s="38" t="s">
        <v>255</v>
      </c>
      <c r="BF20" s="38">
        <v>3</v>
      </c>
      <c r="BG20" s="41" t="s">
        <v>142</v>
      </c>
      <c r="BH20" s="41" t="s">
        <v>41</v>
      </c>
      <c r="BI20" s="41"/>
      <c r="BJ20" s="41"/>
      <c r="BL20" s="38"/>
      <c r="BM20" s="38">
        <v>3</v>
      </c>
      <c r="BN20" s="41" t="s">
        <v>112</v>
      </c>
      <c r="BO20" s="41" t="s">
        <v>40</v>
      </c>
      <c r="BP20" s="41"/>
      <c r="BQ20" s="41"/>
      <c r="BS20" s="38"/>
      <c r="BT20" s="38">
        <v>3</v>
      </c>
      <c r="BU20" s="41" t="s">
        <v>24</v>
      </c>
      <c r="BV20" s="41" t="s">
        <v>138</v>
      </c>
      <c r="BW20" s="41"/>
      <c r="BX20" s="41"/>
      <c r="BZ20" s="38" t="s">
        <v>350</v>
      </c>
      <c r="CA20" s="38">
        <v>3</v>
      </c>
      <c r="CB20" s="41" t="s">
        <v>111</v>
      </c>
      <c r="CC20" s="41" t="s">
        <v>40</v>
      </c>
      <c r="CD20" s="41"/>
      <c r="CE20" s="41"/>
    </row>
    <row r="21" spans="1:83">
      <c r="A21" s="7"/>
      <c r="B21" s="7"/>
      <c r="C21" s="9">
        <v>0</v>
      </c>
      <c r="D21" s="9">
        <v>2</v>
      </c>
      <c r="E21" s="9"/>
      <c r="F21" s="7"/>
      <c r="H21" s="7"/>
      <c r="I21" s="7"/>
      <c r="J21" s="9">
        <v>0</v>
      </c>
      <c r="K21" s="9">
        <v>1</v>
      </c>
      <c r="L21" s="9"/>
      <c r="M21" s="9"/>
      <c r="O21" s="7"/>
      <c r="P21" s="7"/>
      <c r="Q21" s="9">
        <v>1</v>
      </c>
      <c r="R21" s="9">
        <v>3</v>
      </c>
      <c r="S21" s="9">
        <v>0</v>
      </c>
      <c r="T21" s="9">
        <v>0</v>
      </c>
      <c r="V21" s="7"/>
      <c r="W21" s="7"/>
      <c r="X21" s="9">
        <v>1</v>
      </c>
      <c r="Y21" s="9">
        <v>0</v>
      </c>
      <c r="Z21" s="9"/>
      <c r="AA21" s="9"/>
      <c r="AC21" s="7"/>
      <c r="AD21" s="7"/>
      <c r="AE21" s="9">
        <v>0</v>
      </c>
      <c r="AF21" s="9">
        <v>1</v>
      </c>
      <c r="AG21" s="9"/>
      <c r="AH21" s="9"/>
      <c r="AJ21" s="7"/>
      <c r="AK21" s="7"/>
      <c r="AL21" s="9">
        <v>1</v>
      </c>
      <c r="AM21" s="9">
        <v>0</v>
      </c>
      <c r="AN21" s="9"/>
      <c r="AO21" s="9"/>
      <c r="AQ21" s="7"/>
      <c r="AR21" s="7"/>
      <c r="AS21" s="9">
        <v>0</v>
      </c>
      <c r="AT21" s="9">
        <v>3</v>
      </c>
      <c r="AU21" s="9"/>
      <c r="AV21" s="9"/>
      <c r="AX21" s="7"/>
      <c r="AY21" s="7"/>
      <c r="AZ21" s="9">
        <v>1</v>
      </c>
      <c r="BA21" s="9">
        <v>0</v>
      </c>
      <c r="BB21" s="9"/>
      <c r="BC21" s="9"/>
      <c r="BE21" s="38"/>
      <c r="BF21" s="38"/>
      <c r="BG21" s="41">
        <v>3</v>
      </c>
      <c r="BH21" s="41">
        <v>0</v>
      </c>
      <c r="BI21" s="41"/>
      <c r="BJ21" s="41"/>
      <c r="BL21" s="38"/>
      <c r="BM21" s="38"/>
      <c r="BN21" s="41">
        <v>3</v>
      </c>
      <c r="BO21" s="41">
        <v>0</v>
      </c>
      <c r="BP21" s="41"/>
      <c r="BQ21" s="41"/>
      <c r="BS21" s="38"/>
      <c r="BT21" s="38"/>
      <c r="BU21" s="41">
        <v>0</v>
      </c>
      <c r="BV21" s="41">
        <v>1</v>
      </c>
      <c r="BW21" s="41"/>
      <c r="BX21" s="41"/>
      <c r="BZ21" s="38"/>
      <c r="CA21" s="38"/>
      <c r="CB21" s="41">
        <v>2</v>
      </c>
      <c r="CC21" s="41">
        <v>0</v>
      </c>
      <c r="CD21" s="41"/>
      <c r="CE21" s="41"/>
    </row>
    <row r="22" spans="1:83">
      <c r="A22" s="7"/>
      <c r="B22" s="7">
        <v>4</v>
      </c>
      <c r="C22" s="9" t="s">
        <v>58</v>
      </c>
      <c r="D22" s="9" t="s">
        <v>117</v>
      </c>
      <c r="E22" s="9"/>
      <c r="F22" s="7"/>
      <c r="H22" s="7" t="s">
        <v>158</v>
      </c>
      <c r="I22" s="7">
        <v>4</v>
      </c>
      <c r="J22" s="9" t="s">
        <v>60</v>
      </c>
      <c r="K22" s="9" t="s">
        <v>163</v>
      </c>
      <c r="L22" s="9"/>
      <c r="M22" s="9"/>
      <c r="O22" s="7" t="s">
        <v>157</v>
      </c>
      <c r="P22" s="7">
        <v>4</v>
      </c>
      <c r="Q22" s="9" t="s">
        <v>54</v>
      </c>
      <c r="R22" s="9" t="s">
        <v>142</v>
      </c>
      <c r="S22" s="9"/>
      <c r="T22" s="9"/>
      <c r="V22" s="7" t="s">
        <v>220</v>
      </c>
      <c r="W22" s="7">
        <v>4</v>
      </c>
      <c r="X22" s="9" t="s">
        <v>111</v>
      </c>
      <c r="Y22" s="9" t="s">
        <v>58</v>
      </c>
      <c r="Z22" s="9"/>
      <c r="AA22" s="9"/>
      <c r="AC22" s="7" t="s">
        <v>826</v>
      </c>
      <c r="AD22" s="7">
        <v>4</v>
      </c>
      <c r="AE22" s="9" t="s">
        <v>92</v>
      </c>
      <c r="AF22" s="23" t="s">
        <v>145</v>
      </c>
      <c r="AG22" s="9" t="s">
        <v>60</v>
      </c>
      <c r="AH22" s="9" t="s">
        <v>67</v>
      </c>
      <c r="AJ22" s="7" t="s">
        <v>255</v>
      </c>
      <c r="AK22" s="7">
        <v>4</v>
      </c>
      <c r="AL22" s="9" t="s">
        <v>41</v>
      </c>
      <c r="AM22" s="9" t="s">
        <v>142</v>
      </c>
      <c r="AN22" s="9"/>
      <c r="AO22" s="9"/>
      <c r="AQ22" s="7"/>
      <c r="AR22" s="7">
        <v>4</v>
      </c>
      <c r="AS22" s="9" t="s">
        <v>84</v>
      </c>
      <c r="AT22" s="9" t="s">
        <v>138</v>
      </c>
      <c r="AU22" s="9"/>
      <c r="AV22" s="9"/>
      <c r="AX22" s="7" t="s">
        <v>307</v>
      </c>
      <c r="AY22" s="7">
        <v>4</v>
      </c>
      <c r="AZ22" s="9" t="s">
        <v>169</v>
      </c>
      <c r="BA22" s="9" t="s">
        <v>82</v>
      </c>
      <c r="BB22" s="9"/>
      <c r="BC22" s="9"/>
      <c r="BE22" s="38" t="s">
        <v>157</v>
      </c>
      <c r="BF22" s="38">
        <v>4</v>
      </c>
      <c r="BG22" s="41" t="s">
        <v>70</v>
      </c>
      <c r="BH22" s="41" t="s">
        <v>58</v>
      </c>
      <c r="BI22" s="41"/>
      <c r="BJ22" s="41"/>
      <c r="BL22" s="38" t="s">
        <v>327</v>
      </c>
      <c r="BM22" s="38">
        <v>4</v>
      </c>
      <c r="BN22" s="41" t="s">
        <v>118</v>
      </c>
      <c r="BO22" s="70" t="s">
        <v>88</v>
      </c>
      <c r="BP22" s="41" t="s">
        <v>59</v>
      </c>
      <c r="BQ22" s="41" t="s">
        <v>58</v>
      </c>
      <c r="BS22" s="38"/>
      <c r="BT22" s="38">
        <v>4</v>
      </c>
      <c r="BU22" s="41" t="s">
        <v>112</v>
      </c>
      <c r="BV22" s="41" t="s">
        <v>58</v>
      </c>
      <c r="BW22" s="41"/>
      <c r="BX22" s="41"/>
      <c r="BZ22" s="38"/>
      <c r="CA22" s="38">
        <v>4</v>
      </c>
      <c r="CB22" s="41" t="s">
        <v>118</v>
      </c>
      <c r="CC22" s="41" t="s">
        <v>47</v>
      </c>
      <c r="CD22" s="41"/>
      <c r="CE22" s="41"/>
    </row>
    <row r="23" spans="1:83">
      <c r="A23" s="7"/>
      <c r="B23" s="7"/>
      <c r="C23" s="9">
        <v>0</v>
      </c>
      <c r="D23" s="9">
        <v>1</v>
      </c>
      <c r="E23" s="9"/>
      <c r="F23" s="7"/>
      <c r="H23" s="7"/>
      <c r="I23" s="7"/>
      <c r="J23" s="9">
        <v>0</v>
      </c>
      <c r="K23" s="9">
        <v>3</v>
      </c>
      <c r="L23" s="9"/>
      <c r="M23" s="9"/>
      <c r="O23" s="7"/>
      <c r="P23" s="7"/>
      <c r="Q23" s="9">
        <v>0</v>
      </c>
      <c r="R23" s="9">
        <v>3</v>
      </c>
      <c r="S23" s="9"/>
      <c r="T23" s="9"/>
      <c r="V23" s="7"/>
      <c r="W23" s="7"/>
      <c r="X23" s="9">
        <v>2</v>
      </c>
      <c r="Y23" s="9">
        <v>0</v>
      </c>
      <c r="Z23" s="9"/>
      <c r="AA23" s="9"/>
      <c r="AC23" s="7"/>
      <c r="AD23" s="7"/>
      <c r="AE23" s="9">
        <v>2</v>
      </c>
      <c r="AF23" s="9">
        <v>1</v>
      </c>
      <c r="AG23" s="9">
        <v>0</v>
      </c>
      <c r="AH23" s="9">
        <v>0</v>
      </c>
      <c r="AJ23" s="7" t="s">
        <v>261</v>
      </c>
      <c r="AK23" s="7"/>
      <c r="AL23" s="9">
        <v>0</v>
      </c>
      <c r="AM23" s="9">
        <v>2</v>
      </c>
      <c r="AN23" s="9"/>
      <c r="AO23" s="9"/>
      <c r="AQ23" s="7"/>
      <c r="AR23" s="7"/>
      <c r="AS23" s="9">
        <v>0</v>
      </c>
      <c r="AT23" s="9">
        <v>2</v>
      </c>
      <c r="AU23" s="9"/>
      <c r="AV23" s="9"/>
      <c r="AX23" s="7"/>
      <c r="AY23" s="7"/>
      <c r="AZ23" s="9">
        <v>2</v>
      </c>
      <c r="BA23" s="9">
        <v>0</v>
      </c>
      <c r="BB23" s="9"/>
      <c r="BC23" s="9"/>
      <c r="BE23" s="38"/>
      <c r="BF23" s="38"/>
      <c r="BG23" s="41">
        <v>3</v>
      </c>
      <c r="BH23" s="41">
        <v>0</v>
      </c>
      <c r="BI23" s="41"/>
      <c r="BJ23" s="41"/>
      <c r="BL23" s="38"/>
      <c r="BM23" s="38"/>
      <c r="BN23" s="41">
        <v>2</v>
      </c>
      <c r="BO23" s="41">
        <v>2</v>
      </c>
      <c r="BP23" s="41">
        <v>0</v>
      </c>
      <c r="BQ23" s="41">
        <v>0</v>
      </c>
      <c r="BS23" s="38"/>
      <c r="BT23" s="38"/>
      <c r="BU23" s="41">
        <v>1</v>
      </c>
      <c r="BV23" s="41">
        <v>0</v>
      </c>
      <c r="BW23" s="41"/>
      <c r="BX23" s="41"/>
      <c r="BZ23" s="38"/>
      <c r="CA23" s="38"/>
      <c r="CB23" s="41">
        <v>1</v>
      </c>
      <c r="CC23" s="41">
        <v>0</v>
      </c>
      <c r="CD23" s="41"/>
      <c r="CE23" s="41"/>
    </row>
    <row r="24" spans="1:83">
      <c r="A24" s="7" t="s">
        <v>108</v>
      </c>
      <c r="B24" s="7">
        <v>5</v>
      </c>
      <c r="C24" s="9" t="s">
        <v>24</v>
      </c>
      <c r="D24" s="9" t="s">
        <v>118</v>
      </c>
      <c r="E24" s="9"/>
      <c r="F24" s="7"/>
      <c r="H24" s="7" t="s">
        <v>157</v>
      </c>
      <c r="I24" s="7">
        <v>5</v>
      </c>
      <c r="J24" s="9" t="s">
        <v>24</v>
      </c>
      <c r="K24" s="9" t="s">
        <v>118</v>
      </c>
      <c r="L24" s="9"/>
      <c r="M24" s="9"/>
      <c r="O24" s="7" t="s">
        <v>829</v>
      </c>
      <c r="P24" s="7">
        <v>5</v>
      </c>
      <c r="Q24" s="9" t="s">
        <v>110</v>
      </c>
      <c r="R24" s="9" t="s">
        <v>65</v>
      </c>
      <c r="S24" s="9"/>
      <c r="T24" s="9"/>
      <c r="V24" s="7" t="s">
        <v>220</v>
      </c>
      <c r="W24" s="7">
        <v>5</v>
      </c>
      <c r="X24" s="9" t="s">
        <v>151</v>
      </c>
      <c r="Y24" s="9" t="s">
        <v>54</v>
      </c>
      <c r="Z24" s="9"/>
      <c r="AA24" s="9"/>
      <c r="AC24" s="7" t="s">
        <v>135</v>
      </c>
      <c r="AD24" s="7">
        <v>5</v>
      </c>
      <c r="AE24" s="9" t="s">
        <v>56</v>
      </c>
      <c r="AF24" s="9" t="s">
        <v>84</v>
      </c>
      <c r="AG24" s="9" t="s">
        <v>58</v>
      </c>
      <c r="AH24" s="9" t="s">
        <v>138</v>
      </c>
      <c r="AJ24" s="7" t="s">
        <v>223</v>
      </c>
      <c r="AK24" s="7">
        <v>5</v>
      </c>
      <c r="AL24" s="9" t="s">
        <v>63</v>
      </c>
      <c r="AM24" s="9" t="s">
        <v>151</v>
      </c>
      <c r="AN24" s="9"/>
      <c r="AO24" s="9"/>
      <c r="AQ24" s="7"/>
      <c r="AR24" s="7">
        <v>5</v>
      </c>
      <c r="AS24" s="9" t="s">
        <v>151</v>
      </c>
      <c r="AT24" s="9" t="s">
        <v>47</v>
      </c>
      <c r="AU24" s="9"/>
      <c r="AV24" s="9"/>
      <c r="AX24" s="7" t="s">
        <v>309</v>
      </c>
      <c r="AY24" s="7">
        <v>5</v>
      </c>
      <c r="AZ24" s="9" t="s">
        <v>112</v>
      </c>
      <c r="BA24" s="9" t="s">
        <v>66</v>
      </c>
      <c r="BB24" s="9"/>
      <c r="BC24" s="9"/>
      <c r="BE24" s="38"/>
      <c r="BF24" s="38">
        <v>5</v>
      </c>
      <c r="BG24" s="41" t="s">
        <v>112</v>
      </c>
      <c r="BH24" s="41" t="s">
        <v>63</v>
      </c>
      <c r="BI24" s="41"/>
      <c r="BJ24" s="41"/>
      <c r="BL24" s="38" t="s">
        <v>157</v>
      </c>
      <c r="BM24" s="38">
        <v>5</v>
      </c>
      <c r="BN24" s="41" t="s">
        <v>36</v>
      </c>
      <c r="BO24" s="41" t="s">
        <v>81</v>
      </c>
      <c r="BP24" s="41"/>
      <c r="BQ24" s="41"/>
      <c r="BS24" s="38" t="s">
        <v>157</v>
      </c>
      <c r="BT24" s="38">
        <v>5</v>
      </c>
      <c r="BU24" s="41" t="s">
        <v>142</v>
      </c>
      <c r="BV24" s="41" t="s">
        <v>36</v>
      </c>
      <c r="BW24" s="41" t="s">
        <v>82</v>
      </c>
      <c r="BX24" s="41"/>
      <c r="BZ24" s="38" t="s">
        <v>309</v>
      </c>
      <c r="CA24" s="38">
        <v>5</v>
      </c>
      <c r="CB24" s="41" t="s">
        <v>53</v>
      </c>
      <c r="CC24" s="41" t="s">
        <v>92</v>
      </c>
      <c r="CD24" s="41"/>
      <c r="CE24" s="41"/>
    </row>
    <row r="25" spans="1:83">
      <c r="A25" s="7"/>
      <c r="B25" s="7"/>
      <c r="C25" s="9">
        <v>0</v>
      </c>
      <c r="D25" s="9">
        <v>2</v>
      </c>
      <c r="E25" s="9"/>
      <c r="F25" s="7"/>
      <c r="H25" s="7"/>
      <c r="I25" s="7"/>
      <c r="J25" s="9">
        <v>0</v>
      </c>
      <c r="K25" s="9">
        <v>1</v>
      </c>
      <c r="L25" s="9"/>
      <c r="M25" s="9"/>
      <c r="O25" s="7"/>
      <c r="P25" s="7"/>
      <c r="Q25" s="9">
        <v>1</v>
      </c>
      <c r="R25" s="9">
        <v>0</v>
      </c>
      <c r="S25" s="9"/>
      <c r="T25" s="9"/>
      <c r="V25" s="7"/>
      <c r="W25" s="7"/>
      <c r="X25" s="9">
        <v>2</v>
      </c>
      <c r="Y25" s="9">
        <v>0</v>
      </c>
      <c r="Z25" s="9"/>
      <c r="AA25" s="9"/>
      <c r="AC25" s="7" t="s">
        <v>240</v>
      </c>
      <c r="AD25" s="7"/>
      <c r="AE25" s="9">
        <v>0</v>
      </c>
      <c r="AF25" s="9">
        <v>0</v>
      </c>
      <c r="AG25" s="9">
        <v>0</v>
      </c>
      <c r="AH25" s="9">
        <v>1</v>
      </c>
      <c r="AJ25" s="7"/>
      <c r="AK25" s="7"/>
      <c r="AL25" s="9">
        <v>0</v>
      </c>
      <c r="AM25" s="9">
        <v>2</v>
      </c>
      <c r="AN25" s="9"/>
      <c r="AO25" s="9"/>
      <c r="AQ25" s="7"/>
      <c r="AR25" s="7"/>
      <c r="AS25" s="9">
        <v>1</v>
      </c>
      <c r="AT25" s="9">
        <v>0</v>
      </c>
      <c r="AU25" s="9"/>
      <c r="AV25" s="9"/>
      <c r="AX25" s="7"/>
      <c r="AY25" s="7"/>
      <c r="AZ25" s="9">
        <v>1</v>
      </c>
      <c r="BA25" s="9">
        <v>0</v>
      </c>
      <c r="BB25" s="9"/>
      <c r="BC25" s="9"/>
      <c r="BE25" s="38"/>
      <c r="BF25" s="38"/>
      <c r="BG25" s="41">
        <v>1</v>
      </c>
      <c r="BH25" s="41">
        <v>0</v>
      </c>
      <c r="BI25" s="41"/>
      <c r="BJ25" s="41"/>
      <c r="BL25" s="38"/>
      <c r="BM25" s="38"/>
      <c r="BN25" s="41">
        <v>0</v>
      </c>
      <c r="BO25" s="41">
        <v>2</v>
      </c>
      <c r="BP25" s="41"/>
      <c r="BQ25" s="41"/>
      <c r="BS25" s="38"/>
      <c r="BT25" s="38"/>
      <c r="BU25" s="41">
        <v>1</v>
      </c>
      <c r="BV25" s="41">
        <v>0</v>
      </c>
      <c r="BW25" s="41">
        <v>0</v>
      </c>
      <c r="BX25" s="41"/>
      <c r="BZ25" s="38"/>
      <c r="CA25" s="38"/>
      <c r="CB25" s="41">
        <v>0</v>
      </c>
      <c r="CC25" s="41">
        <v>1</v>
      </c>
      <c r="CD25" s="41"/>
      <c r="CE25" s="41"/>
    </row>
    <row r="26" spans="1:83">
      <c r="Q26" s="6"/>
      <c r="R26" s="6"/>
      <c r="S26" s="6"/>
      <c r="T26" s="6"/>
      <c r="X26" s="6"/>
      <c r="Y26" s="6"/>
      <c r="Z26" s="6"/>
      <c r="AA26" s="6"/>
      <c r="AE26" s="6"/>
      <c r="AF26" s="6"/>
      <c r="AG26" s="6"/>
      <c r="AH26" s="6"/>
      <c r="AL26" s="6"/>
      <c r="AM26" s="6"/>
      <c r="AN26" s="6"/>
      <c r="AO26" s="6"/>
      <c r="AS26" s="6"/>
      <c r="AT26" s="6"/>
      <c r="AU26" s="6"/>
      <c r="AV26" s="6"/>
      <c r="AZ26" s="6"/>
      <c r="BA26" s="6"/>
      <c r="BB26" s="6"/>
      <c r="BC26" s="6"/>
      <c r="BE26" s="32"/>
      <c r="BF26" s="32"/>
      <c r="BG26" s="33"/>
      <c r="BH26" s="33"/>
      <c r="BI26" s="33"/>
      <c r="BJ26" s="33"/>
      <c r="BL26" s="32"/>
      <c r="BM26" s="32"/>
      <c r="BN26" s="33"/>
      <c r="BO26" s="33"/>
      <c r="BP26" s="33"/>
      <c r="BQ26" s="33"/>
      <c r="BS26" s="32"/>
      <c r="BT26" s="32"/>
      <c r="BU26" s="33"/>
      <c r="BV26" s="33"/>
      <c r="BW26" s="33"/>
      <c r="BX26" s="33"/>
      <c r="BZ26" s="32"/>
      <c r="CA26" s="32"/>
      <c r="CB26" s="33"/>
      <c r="CC26" s="33"/>
      <c r="CD26" s="33"/>
      <c r="CE26" s="33"/>
    </row>
    <row r="27" spans="1:83" ht="21">
      <c r="A27" s="10"/>
      <c r="B27" s="11" t="s">
        <v>69</v>
      </c>
      <c r="C27" s="27" t="s">
        <v>119</v>
      </c>
      <c r="D27" s="12"/>
      <c r="E27" s="10"/>
      <c r="F27" s="10"/>
      <c r="H27" s="10"/>
      <c r="I27" s="11" t="s">
        <v>69</v>
      </c>
      <c r="J27" s="27" t="s">
        <v>161</v>
      </c>
      <c r="K27" s="12"/>
      <c r="L27" s="12"/>
      <c r="M27" s="12"/>
      <c r="O27" s="10"/>
      <c r="P27" s="11" t="s">
        <v>69</v>
      </c>
      <c r="Q27" s="27" t="s">
        <v>179</v>
      </c>
      <c r="R27" s="12"/>
      <c r="S27" s="12"/>
      <c r="T27" s="12"/>
      <c r="V27" s="10"/>
      <c r="W27" s="11" t="s">
        <v>69</v>
      </c>
      <c r="X27" s="27" t="s">
        <v>214</v>
      </c>
      <c r="Y27" s="12"/>
      <c r="Z27" s="12"/>
      <c r="AA27" s="12"/>
      <c r="AC27" s="10"/>
      <c r="AD27" s="11" t="s">
        <v>69</v>
      </c>
      <c r="AE27" s="27" t="s">
        <v>237</v>
      </c>
      <c r="AF27" s="12"/>
      <c r="AG27" s="12"/>
      <c r="AH27" s="12"/>
      <c r="AJ27" s="10"/>
      <c r="AK27" s="11" t="s">
        <v>69</v>
      </c>
      <c r="AL27" s="27" t="s">
        <v>257</v>
      </c>
      <c r="AM27" s="12"/>
      <c r="AN27" s="12"/>
      <c r="AO27" s="12"/>
      <c r="AQ27" s="10"/>
      <c r="AR27" s="11" t="s">
        <v>69</v>
      </c>
      <c r="AS27" s="27" t="s">
        <v>134</v>
      </c>
      <c r="AT27" s="12"/>
      <c r="AU27" s="12"/>
      <c r="AV27" s="12"/>
      <c r="AX27" s="10"/>
      <c r="AY27" s="11" t="s">
        <v>69</v>
      </c>
      <c r="AZ27" s="27" t="s">
        <v>165</v>
      </c>
      <c r="BA27" s="12"/>
      <c r="BB27" s="12"/>
      <c r="BC27" s="12"/>
      <c r="BE27" s="34"/>
      <c r="BF27" s="35" t="s">
        <v>69</v>
      </c>
      <c r="BG27" s="36" t="s">
        <v>180</v>
      </c>
      <c r="BH27" s="37"/>
      <c r="BI27" s="37"/>
      <c r="BJ27" s="37"/>
      <c r="BL27" s="34"/>
      <c r="BM27" s="35" t="s">
        <v>69</v>
      </c>
      <c r="BN27" s="36" t="s">
        <v>468</v>
      </c>
      <c r="BO27" s="37"/>
      <c r="BP27" s="37"/>
      <c r="BQ27" s="37"/>
      <c r="BS27" s="34"/>
      <c r="BT27" s="35" t="s">
        <v>69</v>
      </c>
      <c r="BU27" s="36" t="s">
        <v>460</v>
      </c>
      <c r="BV27" s="37"/>
      <c r="BW27" s="37"/>
      <c r="BX27" s="37"/>
      <c r="BZ27" s="34"/>
      <c r="CA27" s="35" t="s">
        <v>69</v>
      </c>
      <c r="CB27" s="36" t="s">
        <v>258</v>
      </c>
      <c r="CC27" s="37"/>
      <c r="CD27" s="37"/>
      <c r="CE27" s="37"/>
    </row>
    <row r="28" spans="1:83">
      <c r="A28" s="10"/>
      <c r="B28" s="10">
        <v>1</v>
      </c>
      <c r="C28" s="12" t="s">
        <v>122</v>
      </c>
      <c r="D28" s="12" t="s">
        <v>44</v>
      </c>
      <c r="E28" s="12"/>
      <c r="F28" s="10"/>
      <c r="H28" s="10" t="s">
        <v>140</v>
      </c>
      <c r="I28" s="10">
        <v>1</v>
      </c>
      <c r="J28" s="12" t="s">
        <v>46</v>
      </c>
      <c r="K28" s="12" t="s">
        <v>81</v>
      </c>
      <c r="L28" s="12"/>
      <c r="M28" s="12"/>
      <c r="O28" s="10" t="s">
        <v>194</v>
      </c>
      <c r="P28" s="10">
        <v>1</v>
      </c>
      <c r="Q28" s="12" t="s">
        <v>46</v>
      </c>
      <c r="R28" s="12" t="s">
        <v>166</v>
      </c>
      <c r="S28" s="12"/>
      <c r="T28" s="12"/>
      <c r="V28" s="10" t="s">
        <v>225</v>
      </c>
      <c r="W28" s="10">
        <v>1</v>
      </c>
      <c r="X28" s="12" t="s">
        <v>118</v>
      </c>
      <c r="Y28" s="12" t="s">
        <v>48</v>
      </c>
      <c r="Z28" s="12"/>
      <c r="AA28" s="12"/>
      <c r="AC28" s="10"/>
      <c r="AD28" s="10">
        <v>1</v>
      </c>
      <c r="AE28" s="12" t="s">
        <v>92</v>
      </c>
      <c r="AF28" s="12" t="s">
        <v>52</v>
      </c>
      <c r="AG28" s="12"/>
      <c r="AH28" s="12"/>
      <c r="AJ28" s="10"/>
      <c r="AK28" s="10">
        <v>1</v>
      </c>
      <c r="AL28" s="12" t="s">
        <v>222</v>
      </c>
      <c r="AM28" s="12" t="s">
        <v>48</v>
      </c>
      <c r="AN28" s="12"/>
      <c r="AO28" s="12"/>
      <c r="AQ28" s="10" t="s">
        <v>288</v>
      </c>
      <c r="AR28" s="10">
        <v>1</v>
      </c>
      <c r="AS28" s="12" t="s">
        <v>151</v>
      </c>
      <c r="AT28" s="12" t="s">
        <v>44</v>
      </c>
      <c r="AU28" s="12"/>
      <c r="AV28" s="12"/>
      <c r="AX28" s="10" t="s">
        <v>311</v>
      </c>
      <c r="AY28" s="10">
        <v>1</v>
      </c>
      <c r="AZ28" s="12" t="s">
        <v>169</v>
      </c>
      <c r="BA28" s="12" t="s">
        <v>44</v>
      </c>
      <c r="BB28" s="12"/>
      <c r="BC28" s="12"/>
      <c r="BE28" s="34"/>
      <c r="BF28" s="34">
        <v>1</v>
      </c>
      <c r="BG28" s="37" t="s">
        <v>54</v>
      </c>
      <c r="BH28" s="37" t="s">
        <v>150</v>
      </c>
      <c r="BI28" s="37"/>
      <c r="BJ28" s="37"/>
      <c r="BL28" s="34"/>
      <c r="BM28" s="34">
        <v>1</v>
      </c>
      <c r="BN28" s="37" t="s">
        <v>124</v>
      </c>
      <c r="BO28" s="37" t="s">
        <v>65</v>
      </c>
      <c r="BP28" s="37"/>
      <c r="BQ28" s="37"/>
      <c r="BS28" s="34" t="s">
        <v>340</v>
      </c>
      <c r="BT28" s="34">
        <v>1</v>
      </c>
      <c r="BU28" s="37" t="s">
        <v>24</v>
      </c>
      <c r="BV28" s="37" t="s">
        <v>163</v>
      </c>
      <c r="BW28" s="37"/>
      <c r="BX28" s="37"/>
      <c r="BZ28" s="34"/>
      <c r="CA28" s="34">
        <v>1</v>
      </c>
      <c r="CB28" s="37" t="s">
        <v>54</v>
      </c>
      <c r="CC28" s="37" t="s">
        <v>144</v>
      </c>
      <c r="CD28" s="37"/>
      <c r="CE28" s="37"/>
    </row>
    <row r="29" spans="1:83">
      <c r="A29" s="10"/>
      <c r="B29" s="10"/>
      <c r="C29" s="12">
        <v>3</v>
      </c>
      <c r="D29" s="12">
        <v>0</v>
      </c>
      <c r="E29" s="12"/>
      <c r="F29" s="10"/>
      <c r="H29" s="10"/>
      <c r="I29" s="10"/>
      <c r="J29" s="12">
        <v>0</v>
      </c>
      <c r="K29" s="12">
        <v>1</v>
      </c>
      <c r="L29" s="12"/>
      <c r="M29" s="12"/>
      <c r="O29" s="10"/>
      <c r="P29" s="10"/>
      <c r="Q29" s="12">
        <v>0</v>
      </c>
      <c r="R29" s="12">
        <v>3</v>
      </c>
      <c r="S29" s="12"/>
      <c r="T29" s="12"/>
      <c r="V29" s="10"/>
      <c r="W29" s="10"/>
      <c r="X29" s="12">
        <v>3</v>
      </c>
      <c r="Y29" s="12">
        <v>0</v>
      </c>
      <c r="Z29" s="12"/>
      <c r="AA29" s="12"/>
      <c r="AC29" s="10"/>
      <c r="AD29" s="10"/>
      <c r="AE29" s="12">
        <v>2</v>
      </c>
      <c r="AF29" s="12">
        <v>0</v>
      </c>
      <c r="AG29" s="12"/>
      <c r="AH29" s="12"/>
      <c r="AJ29" s="10"/>
      <c r="AK29" s="10"/>
      <c r="AL29" s="12">
        <v>1</v>
      </c>
      <c r="AM29" s="12">
        <v>0</v>
      </c>
      <c r="AN29" s="12"/>
      <c r="AO29" s="12"/>
      <c r="AQ29" s="10"/>
      <c r="AR29" s="10"/>
      <c r="AS29" s="12">
        <v>3</v>
      </c>
      <c r="AT29" s="12">
        <v>0</v>
      </c>
      <c r="AU29" s="12"/>
      <c r="AV29" s="12"/>
      <c r="AX29" s="10"/>
      <c r="AY29" s="10"/>
      <c r="AZ29" s="12">
        <v>2</v>
      </c>
      <c r="BA29" s="12">
        <v>0</v>
      </c>
      <c r="BB29" s="12"/>
      <c r="BC29" s="12"/>
      <c r="BE29" s="34"/>
      <c r="BF29" s="34"/>
      <c r="BG29" s="37">
        <v>0</v>
      </c>
      <c r="BH29" s="37">
        <v>2</v>
      </c>
      <c r="BI29" s="37"/>
      <c r="BJ29" s="37"/>
      <c r="BL29" s="34"/>
      <c r="BM29" s="34"/>
      <c r="BN29" s="37">
        <v>2</v>
      </c>
      <c r="BO29" s="37">
        <v>0</v>
      </c>
      <c r="BP29" s="37"/>
      <c r="BQ29" s="37"/>
      <c r="BS29" s="34"/>
      <c r="BT29" s="34"/>
      <c r="BU29" s="37">
        <v>0</v>
      </c>
      <c r="BV29" s="37">
        <v>1</v>
      </c>
      <c r="BW29" s="37"/>
      <c r="BX29" s="37"/>
      <c r="BZ29" s="34"/>
      <c r="CA29" s="34"/>
      <c r="CB29" s="37">
        <v>0</v>
      </c>
      <c r="CC29" s="37">
        <v>1</v>
      </c>
      <c r="CD29" s="37"/>
      <c r="CE29" s="37"/>
    </row>
    <row r="30" spans="1:83">
      <c r="A30" s="10"/>
      <c r="B30" s="10">
        <v>2</v>
      </c>
      <c r="C30" s="12" t="s">
        <v>123</v>
      </c>
      <c r="D30" s="12" t="s">
        <v>52</v>
      </c>
      <c r="E30" s="12"/>
      <c r="F30" s="10"/>
      <c r="H30" s="10"/>
      <c r="I30" s="10">
        <v>2</v>
      </c>
      <c r="J30" s="12" t="s">
        <v>150</v>
      </c>
      <c r="K30" s="12" t="s">
        <v>48</v>
      </c>
      <c r="L30" s="12"/>
      <c r="M30" s="12"/>
      <c r="O30" s="10"/>
      <c r="P30" s="10">
        <v>2</v>
      </c>
      <c r="Q30" s="12" t="s">
        <v>88</v>
      </c>
      <c r="R30" s="12" t="s">
        <v>48</v>
      </c>
      <c r="S30" s="12"/>
      <c r="T30" s="12"/>
      <c r="V30" s="10" t="s">
        <v>139</v>
      </c>
      <c r="W30" s="10">
        <v>2</v>
      </c>
      <c r="X30" s="12" t="s">
        <v>41</v>
      </c>
      <c r="Y30" s="12" t="s">
        <v>166</v>
      </c>
      <c r="Z30" s="12"/>
      <c r="AA30" s="12"/>
      <c r="AC30" s="10"/>
      <c r="AD30" s="10">
        <v>2</v>
      </c>
      <c r="AE30" s="12" t="s">
        <v>48</v>
      </c>
      <c r="AF30" s="12" t="s">
        <v>156</v>
      </c>
      <c r="AG30" s="12"/>
      <c r="AH30" s="12"/>
      <c r="AJ30" s="10" t="s">
        <v>140</v>
      </c>
      <c r="AK30" s="10">
        <v>2</v>
      </c>
      <c r="AL30" s="12" t="s">
        <v>263</v>
      </c>
      <c r="AM30" s="12" t="s">
        <v>52</v>
      </c>
      <c r="AN30" s="12"/>
      <c r="AO30" s="12"/>
      <c r="AQ30" s="10" t="s">
        <v>272</v>
      </c>
      <c r="AR30" s="10">
        <v>2</v>
      </c>
      <c r="AS30" s="12" t="s">
        <v>144</v>
      </c>
      <c r="AT30" s="12" t="s">
        <v>43</v>
      </c>
      <c r="AU30" s="12"/>
      <c r="AV30" s="12"/>
      <c r="AX30" s="10"/>
      <c r="AY30" s="10">
        <v>2</v>
      </c>
      <c r="AZ30" s="12" t="s">
        <v>83</v>
      </c>
      <c r="BA30" s="12" t="s">
        <v>46</v>
      </c>
      <c r="BB30" s="12"/>
      <c r="BC30" s="12"/>
      <c r="BE30" s="34"/>
      <c r="BF30" s="34">
        <v>2</v>
      </c>
      <c r="BG30" s="37" t="s">
        <v>195</v>
      </c>
      <c r="BH30" s="37" t="s">
        <v>65</v>
      </c>
      <c r="BI30" s="37"/>
      <c r="BJ30" s="37"/>
      <c r="BL30" s="34"/>
      <c r="BM30" s="34">
        <v>2</v>
      </c>
      <c r="BN30" s="37" t="s">
        <v>71</v>
      </c>
      <c r="BO30" s="37" t="s">
        <v>56</v>
      </c>
      <c r="BP30" s="37"/>
      <c r="BQ30" s="37"/>
      <c r="BS30" s="34"/>
      <c r="BT30" s="34">
        <v>2</v>
      </c>
      <c r="BU30" s="37" t="s">
        <v>156</v>
      </c>
      <c r="BV30" s="37" t="s">
        <v>48</v>
      </c>
      <c r="BW30" s="37"/>
      <c r="BX30" s="37"/>
      <c r="BZ30" s="34"/>
      <c r="CA30" s="34">
        <v>2</v>
      </c>
      <c r="CB30" s="37" t="s">
        <v>150</v>
      </c>
      <c r="CC30" s="37" t="s">
        <v>60</v>
      </c>
      <c r="CD30" s="37"/>
      <c r="CE30" s="37"/>
    </row>
    <row r="31" spans="1:83">
      <c r="A31" s="10"/>
      <c r="B31" s="10"/>
      <c r="C31" s="12">
        <v>1</v>
      </c>
      <c r="D31" s="12">
        <v>0</v>
      </c>
      <c r="E31" s="12"/>
      <c r="F31" s="10"/>
      <c r="H31" s="10"/>
      <c r="I31" s="10"/>
      <c r="J31" s="12">
        <v>3</v>
      </c>
      <c r="K31" s="12">
        <v>0</v>
      </c>
      <c r="L31" s="12"/>
      <c r="M31" s="12"/>
      <c r="O31" s="10"/>
      <c r="P31" s="10"/>
      <c r="Q31" s="12">
        <v>2</v>
      </c>
      <c r="R31" s="12">
        <v>0</v>
      </c>
      <c r="S31" s="12"/>
      <c r="T31" s="12"/>
      <c r="V31" s="10"/>
      <c r="W31" s="10"/>
      <c r="X31" s="12">
        <v>-3</v>
      </c>
      <c r="Y31" s="12">
        <v>2</v>
      </c>
      <c r="Z31" s="12"/>
      <c r="AA31" s="12"/>
      <c r="AC31" s="10"/>
      <c r="AD31" s="10"/>
      <c r="AE31" s="12">
        <v>0</v>
      </c>
      <c r="AF31" s="12">
        <v>3</v>
      </c>
      <c r="AG31" s="12"/>
      <c r="AH31" s="12"/>
      <c r="AJ31" s="10"/>
      <c r="AK31" s="10"/>
      <c r="AL31" s="12">
        <v>2</v>
      </c>
      <c r="AM31" s="12">
        <v>0</v>
      </c>
      <c r="AN31" s="12"/>
      <c r="AO31" s="12"/>
      <c r="AQ31" s="10"/>
      <c r="AR31" s="10"/>
      <c r="AS31" s="12">
        <v>1</v>
      </c>
      <c r="AT31" s="12">
        <v>0</v>
      </c>
      <c r="AU31" s="12"/>
      <c r="AV31" s="12"/>
      <c r="AX31" s="10"/>
      <c r="AY31" s="10"/>
      <c r="AZ31" s="12">
        <v>3</v>
      </c>
      <c r="BA31" s="12">
        <v>0</v>
      </c>
      <c r="BB31" s="12"/>
      <c r="BC31" s="12"/>
      <c r="BE31" s="34"/>
      <c r="BF31" s="34"/>
      <c r="BG31" s="37">
        <v>1</v>
      </c>
      <c r="BH31" s="37">
        <v>0</v>
      </c>
      <c r="BI31" s="37"/>
      <c r="BJ31" s="37"/>
      <c r="BL31" s="34"/>
      <c r="BM31" s="34"/>
      <c r="BN31" s="37">
        <v>1</v>
      </c>
      <c r="BO31" s="37">
        <v>0</v>
      </c>
      <c r="BP31" s="37"/>
      <c r="BQ31" s="37"/>
      <c r="BS31" s="34"/>
      <c r="BT31" s="34"/>
      <c r="BU31" s="37">
        <v>3</v>
      </c>
      <c r="BV31" s="37">
        <v>0</v>
      </c>
      <c r="BW31" s="37"/>
      <c r="BX31" s="37"/>
      <c r="BZ31" s="34"/>
      <c r="CA31" s="34"/>
      <c r="CB31" s="37">
        <v>1</v>
      </c>
      <c r="CC31" s="37">
        <v>0</v>
      </c>
      <c r="CD31" s="37"/>
      <c r="CE31" s="37"/>
    </row>
    <row r="32" spans="1:83">
      <c r="A32" s="10"/>
      <c r="B32" s="10">
        <v>3</v>
      </c>
      <c r="C32" s="12" t="s">
        <v>124</v>
      </c>
      <c r="D32" s="12" t="s">
        <v>48</v>
      </c>
      <c r="E32" s="10"/>
      <c r="F32" s="10"/>
      <c r="H32" s="10" t="s">
        <v>136</v>
      </c>
      <c r="I32" s="10">
        <v>3</v>
      </c>
      <c r="J32" s="12" t="s">
        <v>45</v>
      </c>
      <c r="K32" s="30" t="s">
        <v>49</v>
      </c>
      <c r="L32" s="12" t="s">
        <v>71</v>
      </c>
      <c r="M32" s="12" t="s">
        <v>166</v>
      </c>
      <c r="O32" s="10" t="s">
        <v>197</v>
      </c>
      <c r="P32" s="10">
        <v>3</v>
      </c>
      <c r="Q32" s="12" t="s">
        <v>65</v>
      </c>
      <c r="R32" s="12" t="s">
        <v>122</v>
      </c>
      <c r="S32" s="12"/>
      <c r="T32" s="12"/>
      <c r="V32" s="10" t="s">
        <v>220</v>
      </c>
      <c r="W32" s="10">
        <v>3</v>
      </c>
      <c r="X32" s="12" t="s">
        <v>144</v>
      </c>
      <c r="Y32" s="12" t="s">
        <v>40</v>
      </c>
      <c r="Z32" s="12"/>
      <c r="AA32" s="12"/>
      <c r="AC32" s="10"/>
      <c r="AD32" s="10">
        <v>3</v>
      </c>
      <c r="AE32" s="12" t="s">
        <v>83</v>
      </c>
      <c r="AF32" s="12" t="s">
        <v>44</v>
      </c>
      <c r="AG32" s="12"/>
      <c r="AH32" s="12"/>
      <c r="AJ32" s="10"/>
      <c r="AK32" s="10">
        <v>3</v>
      </c>
      <c r="AL32" s="12" t="s">
        <v>57</v>
      </c>
      <c r="AM32" s="12" t="s">
        <v>150</v>
      </c>
      <c r="AN32" s="12"/>
      <c r="AO32" s="12"/>
      <c r="AQ32" s="10" t="s">
        <v>273</v>
      </c>
      <c r="AR32" s="10">
        <v>3</v>
      </c>
      <c r="AS32" s="12" t="s">
        <v>123</v>
      </c>
      <c r="AT32" s="12" t="s">
        <v>39</v>
      </c>
      <c r="AU32" s="12"/>
      <c r="AV32" s="12"/>
      <c r="AX32" s="10" t="s">
        <v>233</v>
      </c>
      <c r="AY32" s="10">
        <v>3</v>
      </c>
      <c r="AZ32" s="12" t="s">
        <v>144</v>
      </c>
      <c r="BA32" s="12" t="s">
        <v>54</v>
      </c>
      <c r="BB32" s="12"/>
      <c r="BC32" s="12"/>
      <c r="BE32" s="34"/>
      <c r="BF32" s="34">
        <v>3</v>
      </c>
      <c r="BG32" s="37" t="s">
        <v>166</v>
      </c>
      <c r="BH32" s="62" t="s">
        <v>39</v>
      </c>
      <c r="BI32" s="37"/>
      <c r="BJ32" s="37"/>
      <c r="BL32" s="34" t="s">
        <v>328</v>
      </c>
      <c r="BM32" s="34">
        <v>3</v>
      </c>
      <c r="BN32" s="37" t="s">
        <v>151</v>
      </c>
      <c r="BO32" s="37" t="s">
        <v>44</v>
      </c>
      <c r="BP32" s="37"/>
      <c r="BQ32" s="37"/>
      <c r="BS32" s="34" t="s">
        <v>136</v>
      </c>
      <c r="BT32" s="34">
        <v>3</v>
      </c>
      <c r="BU32" s="37" t="s">
        <v>166</v>
      </c>
      <c r="BV32" s="60" t="s">
        <v>263</v>
      </c>
      <c r="BW32" s="37" t="s">
        <v>46</v>
      </c>
      <c r="BX32" s="37" t="s">
        <v>39</v>
      </c>
      <c r="BZ32" s="34"/>
      <c r="CA32" s="34">
        <v>3</v>
      </c>
      <c r="CB32" s="37" t="s">
        <v>163</v>
      </c>
      <c r="CC32" s="37" t="s">
        <v>45</v>
      </c>
      <c r="CD32" s="37"/>
      <c r="CE32" s="37"/>
    </row>
    <row r="33" spans="1:83">
      <c r="A33" s="10"/>
      <c r="B33" s="10"/>
      <c r="C33" s="12">
        <v>3</v>
      </c>
      <c r="D33" s="12">
        <v>0</v>
      </c>
      <c r="E33" s="12"/>
      <c r="F33" s="10"/>
      <c r="H33" s="10"/>
      <c r="I33" s="10"/>
      <c r="J33" s="12">
        <v>0</v>
      </c>
      <c r="K33" s="12">
        <v>0</v>
      </c>
      <c r="L33" s="12">
        <v>1</v>
      </c>
      <c r="M33" s="12">
        <v>0</v>
      </c>
      <c r="O33" s="10"/>
      <c r="P33" s="10"/>
      <c r="Q33" s="12">
        <v>0</v>
      </c>
      <c r="R33" s="12">
        <v>2</v>
      </c>
      <c r="S33" s="12"/>
      <c r="T33" s="12"/>
      <c r="V33" s="10"/>
      <c r="W33" s="10"/>
      <c r="X33" s="12">
        <v>2</v>
      </c>
      <c r="Y33" s="12">
        <v>0</v>
      </c>
      <c r="Z33" s="12"/>
      <c r="AA33" s="12"/>
      <c r="AC33" s="10"/>
      <c r="AD33" s="10"/>
      <c r="AE33" s="12">
        <v>3</v>
      </c>
      <c r="AF33" s="12">
        <v>0</v>
      </c>
      <c r="AG33" s="12"/>
      <c r="AH33" s="12"/>
      <c r="AJ33" s="10"/>
      <c r="AK33" s="10"/>
      <c r="AL33" s="12">
        <v>0</v>
      </c>
      <c r="AM33" s="12">
        <v>3</v>
      </c>
      <c r="AN33" s="12"/>
      <c r="AO33" s="12"/>
      <c r="AQ33" s="10"/>
      <c r="AR33" s="10"/>
      <c r="AS33" s="12">
        <v>1</v>
      </c>
      <c r="AT33" s="12">
        <v>0</v>
      </c>
      <c r="AU33" s="12"/>
      <c r="AV33" s="12"/>
      <c r="AX33" s="10" t="s">
        <v>313</v>
      </c>
      <c r="AY33" s="10"/>
      <c r="AZ33" s="12">
        <v>1</v>
      </c>
      <c r="BA33" s="12">
        <v>-1</v>
      </c>
      <c r="BB33" s="12"/>
      <c r="BC33" s="12"/>
      <c r="BE33" s="34"/>
      <c r="BF33" s="34"/>
      <c r="BG33" s="37">
        <v>1</v>
      </c>
      <c r="BH33" s="37">
        <v>0</v>
      </c>
      <c r="BI33" s="37"/>
      <c r="BJ33" s="37"/>
      <c r="BL33" s="34"/>
      <c r="BM33" s="34"/>
      <c r="BN33" s="37">
        <v>3</v>
      </c>
      <c r="BO33" s="37">
        <v>0</v>
      </c>
      <c r="BP33" s="37"/>
      <c r="BQ33" s="37"/>
      <c r="BS33" s="34"/>
      <c r="BT33" s="34"/>
      <c r="BU33" s="37">
        <v>3</v>
      </c>
      <c r="BV33" s="37">
        <v>1</v>
      </c>
      <c r="BW33" s="37">
        <v>0</v>
      </c>
      <c r="BX33" s="37">
        <v>0</v>
      </c>
      <c r="BZ33" s="34"/>
      <c r="CA33" s="34"/>
      <c r="CB33" s="37">
        <v>1</v>
      </c>
      <c r="CC33" s="37">
        <v>0</v>
      </c>
      <c r="CD33" s="37"/>
      <c r="CE33" s="37"/>
    </row>
    <row r="34" spans="1:83">
      <c r="A34" s="10" t="s">
        <v>108</v>
      </c>
      <c r="B34" s="10">
        <v>4</v>
      </c>
      <c r="C34" s="12" t="s">
        <v>49</v>
      </c>
      <c r="D34" s="12" t="s">
        <v>88</v>
      </c>
      <c r="E34" s="12"/>
      <c r="F34" s="10"/>
      <c r="H34" s="10"/>
      <c r="I34" s="10">
        <v>4</v>
      </c>
      <c r="J34" s="12" t="s">
        <v>156</v>
      </c>
      <c r="K34" s="12" t="s">
        <v>41</v>
      </c>
      <c r="L34" s="12"/>
      <c r="M34" s="12"/>
      <c r="O34" s="10"/>
      <c r="P34" s="10">
        <v>4</v>
      </c>
      <c r="Q34" s="12" t="s">
        <v>195</v>
      </c>
      <c r="R34" s="12" t="s">
        <v>43</v>
      </c>
      <c r="S34" s="12"/>
      <c r="T34" s="12"/>
      <c r="V34" s="10" t="s">
        <v>220</v>
      </c>
      <c r="W34" s="10">
        <v>4</v>
      </c>
      <c r="X34" s="12" t="s">
        <v>36</v>
      </c>
      <c r="Y34" s="12" t="s">
        <v>150</v>
      </c>
      <c r="Z34" s="12"/>
      <c r="AA34" s="12"/>
      <c r="AC34" s="10"/>
      <c r="AD34" s="10">
        <v>4</v>
      </c>
      <c r="AE34" s="12" t="s">
        <v>81</v>
      </c>
      <c r="AF34" s="12" t="s">
        <v>41</v>
      </c>
      <c r="AG34" s="12"/>
      <c r="AH34" s="12"/>
      <c r="AJ34" s="10"/>
      <c r="AK34" s="10">
        <v>4</v>
      </c>
      <c r="AL34" s="12" t="s">
        <v>124</v>
      </c>
      <c r="AM34" s="12" t="s">
        <v>54</v>
      </c>
      <c r="AN34" s="12"/>
      <c r="AO34" s="12"/>
      <c r="AQ34" s="10" t="s">
        <v>274</v>
      </c>
      <c r="AR34" s="10">
        <v>4</v>
      </c>
      <c r="AS34" s="12" t="s">
        <v>65</v>
      </c>
      <c r="AT34" s="12" t="s">
        <v>156</v>
      </c>
      <c r="AU34" s="12"/>
      <c r="AV34" s="12"/>
      <c r="AX34" s="10" t="s">
        <v>233</v>
      </c>
      <c r="AY34" s="10">
        <v>4</v>
      </c>
      <c r="AZ34" s="12" t="s">
        <v>39</v>
      </c>
      <c r="BA34" s="12" t="s">
        <v>141</v>
      </c>
      <c r="BB34" s="12"/>
      <c r="BC34" s="12"/>
      <c r="BE34" s="34" t="s">
        <v>139</v>
      </c>
      <c r="BF34" s="34">
        <v>4</v>
      </c>
      <c r="BG34" s="37" t="s">
        <v>144</v>
      </c>
      <c r="BH34" s="37" t="s">
        <v>37</v>
      </c>
      <c r="BI34" s="37"/>
      <c r="BJ34" s="37"/>
      <c r="BL34" s="34"/>
      <c r="BM34" s="34">
        <v>4</v>
      </c>
      <c r="BN34" s="37" t="s">
        <v>60</v>
      </c>
      <c r="BO34" s="37" t="s">
        <v>144</v>
      </c>
      <c r="BP34" s="37"/>
      <c r="BQ34" s="37"/>
      <c r="BS34" s="34"/>
      <c r="BT34" s="34">
        <v>4</v>
      </c>
      <c r="BU34" s="37" t="s">
        <v>141</v>
      </c>
      <c r="BV34" s="37" t="s">
        <v>42</v>
      </c>
      <c r="BW34" s="37"/>
      <c r="BX34" s="37"/>
      <c r="BZ34" s="34" t="s">
        <v>306</v>
      </c>
      <c r="CA34" s="34">
        <v>4</v>
      </c>
      <c r="CB34" s="37" t="s">
        <v>141</v>
      </c>
      <c r="CC34" s="37" t="s">
        <v>52</v>
      </c>
      <c r="CD34" s="37"/>
      <c r="CE34" s="37"/>
    </row>
    <row r="35" spans="1:83">
      <c r="A35" s="10"/>
      <c r="B35" s="10"/>
      <c r="C35" s="12">
        <v>0</v>
      </c>
      <c r="D35" s="12">
        <v>1</v>
      </c>
      <c r="E35" s="12"/>
      <c r="F35" s="10"/>
      <c r="H35" s="10"/>
      <c r="I35" s="10"/>
      <c r="J35" s="12">
        <v>2</v>
      </c>
      <c r="K35" s="12">
        <v>0</v>
      </c>
      <c r="L35" s="12"/>
      <c r="M35" s="12"/>
      <c r="O35" s="10"/>
      <c r="P35" s="10"/>
      <c r="Q35" s="12">
        <v>1</v>
      </c>
      <c r="R35" s="12">
        <v>0</v>
      </c>
      <c r="S35" s="12"/>
      <c r="T35" s="12"/>
      <c r="V35" s="10"/>
      <c r="W35" s="10"/>
      <c r="X35" s="12">
        <v>0</v>
      </c>
      <c r="Y35" s="12">
        <v>1</v>
      </c>
      <c r="Z35" s="12"/>
      <c r="AA35" s="12"/>
      <c r="AC35" s="10"/>
      <c r="AD35" s="10"/>
      <c r="AE35" s="12">
        <v>1</v>
      </c>
      <c r="AF35" s="12">
        <v>0</v>
      </c>
      <c r="AG35" s="12"/>
      <c r="AH35" s="12"/>
      <c r="AJ35" s="10"/>
      <c r="AK35" s="10"/>
      <c r="AL35" s="12">
        <v>1</v>
      </c>
      <c r="AM35" s="12">
        <v>0</v>
      </c>
      <c r="AN35" s="12"/>
      <c r="AO35" s="12"/>
      <c r="AQ35" s="10"/>
      <c r="AR35" s="10"/>
      <c r="AS35" s="12">
        <v>0</v>
      </c>
      <c r="AT35" s="12">
        <v>1</v>
      </c>
      <c r="AU35" s="12"/>
      <c r="AV35" s="12"/>
      <c r="AX35" s="10"/>
      <c r="AY35" s="10"/>
      <c r="AZ35" s="12">
        <v>-1</v>
      </c>
      <c r="BA35" s="12">
        <v>1</v>
      </c>
      <c r="BB35" s="12"/>
      <c r="BC35" s="12"/>
      <c r="BE35" s="34"/>
      <c r="BF35" s="34"/>
      <c r="BG35" s="37">
        <v>1</v>
      </c>
      <c r="BH35" s="37">
        <v>-1</v>
      </c>
      <c r="BI35" s="37"/>
      <c r="BJ35" s="37"/>
      <c r="BL35" s="34"/>
      <c r="BM35" s="34"/>
      <c r="BN35" s="37">
        <v>0</v>
      </c>
      <c r="BO35" s="37">
        <v>2</v>
      </c>
      <c r="BP35" s="37"/>
      <c r="BQ35" s="37"/>
      <c r="BS35" s="34"/>
      <c r="BT35" s="34"/>
      <c r="BU35" s="37">
        <v>2</v>
      </c>
      <c r="BV35" s="37">
        <v>0</v>
      </c>
      <c r="BW35" s="37"/>
      <c r="BX35" s="37"/>
      <c r="BZ35" s="34"/>
      <c r="CA35" s="34"/>
      <c r="CB35" s="37">
        <v>1</v>
      </c>
      <c r="CC35" s="37">
        <v>0</v>
      </c>
      <c r="CD35" s="37"/>
      <c r="CE35" s="37"/>
    </row>
    <row r="36" spans="1:83">
      <c r="A36" s="10" t="s">
        <v>120</v>
      </c>
      <c r="B36" s="10">
        <v>5</v>
      </c>
      <c r="C36" s="12" t="s">
        <v>92</v>
      </c>
      <c r="D36" s="12" t="s">
        <v>82</v>
      </c>
      <c r="E36" s="12"/>
      <c r="F36" s="10"/>
      <c r="H36" s="10" t="s">
        <v>87</v>
      </c>
      <c r="I36" s="10">
        <v>5</v>
      </c>
      <c r="J36" s="12" t="s">
        <v>50</v>
      </c>
      <c r="K36" s="12" t="s">
        <v>96</v>
      </c>
      <c r="L36" s="12"/>
      <c r="M36" s="12"/>
      <c r="O36" s="10" t="s">
        <v>87</v>
      </c>
      <c r="P36" s="10">
        <v>5</v>
      </c>
      <c r="Q36" s="12" t="s">
        <v>38</v>
      </c>
      <c r="R36" s="12" t="s">
        <v>83</v>
      </c>
      <c r="S36" s="12"/>
      <c r="T36" s="12"/>
      <c r="V36" s="10" t="s">
        <v>220</v>
      </c>
      <c r="W36" s="10">
        <v>5</v>
      </c>
      <c r="X36" s="12" t="s">
        <v>156</v>
      </c>
      <c r="Y36" s="12" t="s">
        <v>50</v>
      </c>
      <c r="Z36" s="12"/>
      <c r="AA36" s="12"/>
      <c r="AC36" s="10" t="s">
        <v>140</v>
      </c>
      <c r="AD36" s="10">
        <v>5</v>
      </c>
      <c r="AE36" s="12" t="s">
        <v>49</v>
      </c>
      <c r="AF36" s="12" t="s">
        <v>123</v>
      </c>
      <c r="AG36" s="12" t="s">
        <v>43</v>
      </c>
      <c r="AH36" s="12"/>
      <c r="AJ36" s="10" t="s">
        <v>136</v>
      </c>
      <c r="AK36" s="10">
        <v>5</v>
      </c>
      <c r="AL36" s="12" t="s">
        <v>65</v>
      </c>
      <c r="AM36" s="30" t="s">
        <v>49</v>
      </c>
      <c r="AN36" s="52" t="s">
        <v>96</v>
      </c>
      <c r="AO36" s="52" t="s">
        <v>123</v>
      </c>
      <c r="AQ36" s="10" t="s">
        <v>275</v>
      </c>
      <c r="AR36" s="10">
        <v>5</v>
      </c>
      <c r="AS36" s="12" t="s">
        <v>38</v>
      </c>
      <c r="AT36" s="12" t="s">
        <v>45</v>
      </c>
      <c r="AU36" s="12" t="s">
        <v>124</v>
      </c>
      <c r="AV36" s="12"/>
      <c r="AX36" s="10" t="s">
        <v>233</v>
      </c>
      <c r="AY36" s="10">
        <v>5</v>
      </c>
      <c r="AZ36" s="12" t="s">
        <v>124</v>
      </c>
      <c r="BA36" s="12" t="s">
        <v>52</v>
      </c>
      <c r="BB36" s="12"/>
      <c r="BC36" s="12"/>
      <c r="BE36" s="34" t="s">
        <v>87</v>
      </c>
      <c r="BF36" s="34">
        <v>5</v>
      </c>
      <c r="BG36" s="37" t="s">
        <v>141</v>
      </c>
      <c r="BH36" s="37" t="s">
        <v>46</v>
      </c>
      <c r="BI36" s="37"/>
      <c r="BJ36" s="37"/>
      <c r="BL36" s="34" t="s">
        <v>87</v>
      </c>
      <c r="BM36" s="34">
        <v>5</v>
      </c>
      <c r="BN36" s="37" t="s">
        <v>83</v>
      </c>
      <c r="BO36" s="37" t="s">
        <v>61</v>
      </c>
      <c r="BP36" s="37"/>
      <c r="BQ36" s="37"/>
      <c r="BS36" s="34" t="s">
        <v>140</v>
      </c>
      <c r="BT36" s="34">
        <v>5</v>
      </c>
      <c r="BU36" s="37" t="s">
        <v>43</v>
      </c>
      <c r="BV36" s="37" t="s">
        <v>195</v>
      </c>
      <c r="BW36" s="37" t="s">
        <v>65</v>
      </c>
      <c r="BX36" s="37"/>
      <c r="BZ36" s="34" t="s">
        <v>306</v>
      </c>
      <c r="CA36" s="34">
        <v>5</v>
      </c>
      <c r="CB36" s="37" t="s">
        <v>46</v>
      </c>
      <c r="CC36" s="37" t="s">
        <v>124</v>
      </c>
      <c r="CD36" s="37"/>
      <c r="CE36" s="37"/>
    </row>
    <row r="37" spans="1:83">
      <c r="A37" s="10"/>
      <c r="B37" s="10"/>
      <c r="C37" s="12">
        <v>3</v>
      </c>
      <c r="D37" s="12">
        <v>0</v>
      </c>
      <c r="E37" s="12"/>
      <c r="F37" s="10"/>
      <c r="H37" s="10"/>
      <c r="I37" s="10"/>
      <c r="J37" s="12">
        <v>0</v>
      </c>
      <c r="K37" s="12">
        <v>2</v>
      </c>
      <c r="L37" s="12"/>
      <c r="M37" s="12"/>
      <c r="O37" s="10"/>
      <c r="P37" s="10"/>
      <c r="Q37" s="12">
        <v>0</v>
      </c>
      <c r="R37" s="12">
        <v>1</v>
      </c>
      <c r="S37" s="12"/>
      <c r="T37" s="12"/>
      <c r="V37" s="10"/>
      <c r="W37" s="10"/>
      <c r="X37" s="12">
        <v>1</v>
      </c>
      <c r="Y37" s="12">
        <v>0</v>
      </c>
      <c r="Z37" s="12"/>
      <c r="AA37" s="12"/>
      <c r="AC37" s="10"/>
      <c r="AD37" s="10"/>
      <c r="AE37" s="12">
        <v>0</v>
      </c>
      <c r="AF37" s="12">
        <v>2</v>
      </c>
      <c r="AG37" s="12">
        <v>0</v>
      </c>
      <c r="AH37" s="12"/>
      <c r="AJ37" s="10"/>
      <c r="AK37" s="10"/>
      <c r="AL37" s="12">
        <v>0</v>
      </c>
      <c r="AM37" s="12">
        <v>0</v>
      </c>
      <c r="AN37" s="12">
        <v>1</v>
      </c>
      <c r="AO37" s="12">
        <v>1</v>
      </c>
      <c r="AQ37" s="10"/>
      <c r="AR37" s="10"/>
      <c r="AS37" s="12">
        <v>0</v>
      </c>
      <c r="AT37" s="12">
        <v>0</v>
      </c>
      <c r="AU37" s="12">
        <v>2</v>
      </c>
      <c r="AV37" s="12"/>
      <c r="AX37" s="10"/>
      <c r="AY37" s="10"/>
      <c r="AZ37" s="12">
        <v>2</v>
      </c>
      <c r="BA37" s="12">
        <v>-2</v>
      </c>
      <c r="BB37" s="12"/>
      <c r="BC37" s="12"/>
      <c r="BE37" s="34"/>
      <c r="BF37" s="34"/>
      <c r="BG37" s="37">
        <v>2</v>
      </c>
      <c r="BH37" s="37">
        <v>0</v>
      </c>
      <c r="BI37" s="37"/>
      <c r="BJ37" s="37"/>
      <c r="BL37" s="34"/>
      <c r="BM37" s="34"/>
      <c r="BN37" s="37">
        <v>1</v>
      </c>
      <c r="BO37" s="37">
        <v>0</v>
      </c>
      <c r="BP37" s="37"/>
      <c r="BQ37" s="37"/>
      <c r="BS37" s="34"/>
      <c r="BT37" s="34"/>
      <c r="BU37" s="37">
        <v>0</v>
      </c>
      <c r="BV37" s="37">
        <v>1</v>
      </c>
      <c r="BW37" s="37">
        <v>0</v>
      </c>
      <c r="BX37" s="37"/>
      <c r="BZ37" s="34"/>
      <c r="CA37" s="34"/>
      <c r="CB37" s="37">
        <v>0</v>
      </c>
      <c r="CC37" s="37">
        <v>3</v>
      </c>
      <c r="CD37" s="37"/>
      <c r="CE37" s="37"/>
    </row>
    <row r="38" spans="1:83">
      <c r="Q38" s="6"/>
      <c r="R38" s="6"/>
      <c r="S38" s="6"/>
      <c r="T38" s="6"/>
      <c r="X38" s="6"/>
      <c r="Y38" s="6"/>
      <c r="Z38" s="6"/>
      <c r="AA38" s="6"/>
      <c r="AE38" s="6"/>
      <c r="AF38" s="6"/>
      <c r="AG38" s="6"/>
      <c r="AH38" s="6"/>
      <c r="AL38" s="6"/>
      <c r="AM38" s="6"/>
      <c r="AN38" s="6"/>
      <c r="AO38" s="6"/>
      <c r="AS38" s="6"/>
      <c r="AT38" s="6"/>
      <c r="AU38" s="6"/>
      <c r="AV38" s="6"/>
      <c r="AZ38" s="6"/>
      <c r="BA38" s="6"/>
      <c r="BB38" s="6"/>
      <c r="BC38" s="6"/>
      <c r="BE38" s="32"/>
      <c r="BF38" s="32"/>
      <c r="BG38" s="33"/>
      <c r="BH38" s="33"/>
      <c r="BI38" s="33"/>
      <c r="BJ38" s="33"/>
      <c r="BL38" s="32"/>
      <c r="BM38" s="32"/>
      <c r="BN38" s="33"/>
      <c r="BO38" s="33"/>
      <c r="BP38" s="33"/>
      <c r="BQ38" s="33"/>
      <c r="BS38" s="32"/>
      <c r="BT38" s="32"/>
      <c r="BU38" s="33"/>
      <c r="BV38" s="33"/>
      <c r="BW38" s="33"/>
      <c r="BX38" s="33"/>
      <c r="BZ38" s="32"/>
      <c r="CA38" s="32"/>
      <c r="CB38" s="33"/>
      <c r="CC38" s="33"/>
      <c r="CD38" s="33"/>
      <c r="CE38" s="33"/>
    </row>
    <row r="39" spans="1:83" ht="21">
      <c r="A39" s="7"/>
      <c r="B39" s="8" t="s">
        <v>73</v>
      </c>
      <c r="C39" s="28" t="s">
        <v>121</v>
      </c>
      <c r="D39" s="9"/>
      <c r="E39" s="7"/>
      <c r="F39" s="7"/>
      <c r="H39" s="7"/>
      <c r="I39" s="8" t="s">
        <v>73</v>
      </c>
      <c r="J39" s="28" t="s">
        <v>164</v>
      </c>
      <c r="K39" s="9"/>
      <c r="L39" s="9"/>
      <c r="M39" s="9"/>
      <c r="O39" s="7"/>
      <c r="P39" s="8" t="s">
        <v>73</v>
      </c>
      <c r="Q39" s="28" t="s">
        <v>180</v>
      </c>
      <c r="R39" s="9"/>
      <c r="S39" s="9"/>
      <c r="T39" s="9"/>
      <c r="V39" s="7"/>
      <c r="W39" s="8" t="s">
        <v>73</v>
      </c>
      <c r="X39" s="28" t="s">
        <v>468</v>
      </c>
      <c r="Y39" s="9"/>
      <c r="Z39" s="9"/>
      <c r="AA39" s="9"/>
      <c r="AC39" s="7"/>
      <c r="AD39" s="8" t="s">
        <v>73</v>
      </c>
      <c r="AE39" s="28" t="s">
        <v>460</v>
      </c>
      <c r="AF39" s="9"/>
      <c r="AG39" s="9"/>
      <c r="AH39" s="9"/>
      <c r="AJ39" s="7"/>
      <c r="AK39" s="8" t="s">
        <v>73</v>
      </c>
      <c r="AL39" s="28" t="s">
        <v>258</v>
      </c>
      <c r="AM39" s="9"/>
      <c r="AN39" s="9"/>
      <c r="AO39" s="9"/>
      <c r="AQ39" s="7"/>
      <c r="AR39" s="8" t="s">
        <v>73</v>
      </c>
      <c r="AS39" s="28" t="s">
        <v>100</v>
      </c>
      <c r="AT39" s="9"/>
      <c r="AU39" s="9"/>
      <c r="AV39" s="9"/>
      <c r="AX39" s="7"/>
      <c r="AY39" s="8" t="s">
        <v>73</v>
      </c>
      <c r="AZ39" s="28" t="s">
        <v>467</v>
      </c>
      <c r="BA39" s="9"/>
      <c r="BB39" s="9"/>
      <c r="BC39" s="9"/>
      <c r="BE39" s="38"/>
      <c r="BF39" s="39" t="s">
        <v>189</v>
      </c>
      <c r="BG39" s="40" t="s">
        <v>212</v>
      </c>
      <c r="BH39" s="41"/>
      <c r="BI39" s="41"/>
      <c r="BJ39" s="41"/>
      <c r="BL39" s="38"/>
      <c r="BM39" s="39" t="s">
        <v>189</v>
      </c>
      <c r="BN39" s="40" t="s">
        <v>215</v>
      </c>
      <c r="BO39" s="41"/>
      <c r="BP39" s="41"/>
      <c r="BQ39" s="41"/>
      <c r="BS39" s="38"/>
      <c r="BT39" s="39" t="s">
        <v>189</v>
      </c>
      <c r="BU39" s="40" t="s">
        <v>238</v>
      </c>
      <c r="BV39" s="41"/>
      <c r="BW39" s="41"/>
      <c r="BX39" s="41"/>
      <c r="BZ39" s="38"/>
      <c r="CA39" s="39" t="s">
        <v>189</v>
      </c>
      <c r="CB39" s="40" t="s">
        <v>259</v>
      </c>
      <c r="CC39" s="41"/>
      <c r="CD39" s="41"/>
      <c r="CE39" s="41"/>
    </row>
    <row r="40" spans="1:83">
      <c r="A40" s="7"/>
      <c r="B40" s="7">
        <v>1</v>
      </c>
      <c r="C40" s="9" t="s">
        <v>54</v>
      </c>
      <c r="D40" s="9" t="s">
        <v>138</v>
      </c>
      <c r="E40" s="9"/>
      <c r="F40" s="7"/>
      <c r="H40" s="7"/>
      <c r="I40" s="7">
        <v>1</v>
      </c>
      <c r="J40" s="9" t="s">
        <v>54</v>
      </c>
      <c r="K40" s="9" t="s">
        <v>142</v>
      </c>
      <c r="L40" s="9"/>
      <c r="M40" s="9"/>
      <c r="O40" s="7" t="s">
        <v>198</v>
      </c>
      <c r="P40" s="7">
        <v>1</v>
      </c>
      <c r="Q40" s="9" t="s">
        <v>59</v>
      </c>
      <c r="R40" s="9" t="s">
        <v>156</v>
      </c>
      <c r="S40" s="9"/>
      <c r="T40" s="9"/>
      <c r="V40" s="7"/>
      <c r="W40" s="7">
        <v>1</v>
      </c>
      <c r="X40" s="9" t="s">
        <v>151</v>
      </c>
      <c r="Y40" s="9" t="s">
        <v>67</v>
      </c>
      <c r="Z40" s="9"/>
      <c r="AA40" s="9"/>
      <c r="AC40" s="7"/>
      <c r="AD40" s="7">
        <v>1</v>
      </c>
      <c r="AE40" s="9" t="s">
        <v>112</v>
      </c>
      <c r="AF40" s="9" t="s">
        <v>59</v>
      </c>
      <c r="AG40" s="9"/>
      <c r="AH40" s="9"/>
      <c r="AJ40" s="7" t="s">
        <v>262</v>
      </c>
      <c r="AK40" s="7">
        <v>1</v>
      </c>
      <c r="AL40" s="9" t="s">
        <v>144</v>
      </c>
      <c r="AM40" s="9" t="s">
        <v>59</v>
      </c>
      <c r="AN40" s="9"/>
      <c r="AO40" s="9"/>
      <c r="AQ40" s="7"/>
      <c r="AR40" s="7">
        <v>1</v>
      </c>
      <c r="AS40" s="9" t="s">
        <v>112</v>
      </c>
      <c r="AT40" s="9" t="s">
        <v>67</v>
      </c>
      <c r="AU40" s="9"/>
      <c r="AV40" s="9"/>
      <c r="AX40" s="7"/>
      <c r="AY40" s="7">
        <v>1</v>
      </c>
      <c r="AZ40" s="9" t="s">
        <v>169</v>
      </c>
      <c r="BA40" s="9" t="s">
        <v>47</v>
      </c>
      <c r="BB40" s="9"/>
      <c r="BC40" s="9"/>
      <c r="BE40" s="38"/>
      <c r="BF40" s="38">
        <v>1</v>
      </c>
      <c r="BG40" s="41" t="s">
        <v>118</v>
      </c>
      <c r="BH40" s="41" t="s">
        <v>36</v>
      </c>
      <c r="BI40" s="41"/>
      <c r="BJ40" s="41"/>
      <c r="BL40" s="38"/>
      <c r="BM40" s="38">
        <v>1</v>
      </c>
      <c r="BN40" s="41" t="s">
        <v>66</v>
      </c>
      <c r="BO40" s="41" t="s">
        <v>142</v>
      </c>
      <c r="BP40" s="41"/>
      <c r="BQ40" s="41"/>
      <c r="BS40" s="38" t="s">
        <v>341</v>
      </c>
      <c r="BT40" s="38">
        <v>1</v>
      </c>
      <c r="BU40" s="41" t="s">
        <v>124</v>
      </c>
      <c r="BV40" s="41" t="s">
        <v>36</v>
      </c>
      <c r="BW40" s="41"/>
      <c r="BX40" s="41"/>
      <c r="BZ40" s="38" t="s">
        <v>351</v>
      </c>
      <c r="CA40" s="38">
        <v>1</v>
      </c>
      <c r="CB40" s="41" t="s">
        <v>61</v>
      </c>
      <c r="CC40" s="41" t="s">
        <v>88</v>
      </c>
      <c r="CD40" s="41"/>
      <c r="CE40" s="41"/>
    </row>
    <row r="41" spans="1:83">
      <c r="A41" s="7"/>
      <c r="B41" s="7"/>
      <c r="C41" s="9">
        <v>0</v>
      </c>
      <c r="D41" s="9">
        <v>1</v>
      </c>
      <c r="E41" s="9"/>
      <c r="F41" s="7"/>
      <c r="H41" s="7"/>
      <c r="I41" s="7"/>
      <c r="J41" s="9">
        <v>0</v>
      </c>
      <c r="K41" s="9">
        <v>2</v>
      </c>
      <c r="L41" s="9"/>
      <c r="M41" s="9"/>
      <c r="O41" s="7"/>
      <c r="P41" s="7"/>
      <c r="Q41" s="9">
        <v>0</v>
      </c>
      <c r="R41" s="9">
        <v>3</v>
      </c>
      <c r="S41" s="9"/>
      <c r="T41" s="9"/>
      <c r="V41" s="7"/>
      <c r="W41" s="7"/>
      <c r="X41" s="9">
        <v>1</v>
      </c>
      <c r="Y41" s="9">
        <v>0</v>
      </c>
      <c r="Z41" s="9"/>
      <c r="AA41" s="9"/>
      <c r="AC41" s="7"/>
      <c r="AD41" s="7"/>
      <c r="AE41" s="9">
        <v>2</v>
      </c>
      <c r="AF41" s="9">
        <v>0</v>
      </c>
      <c r="AG41" s="9"/>
      <c r="AH41" s="9"/>
      <c r="AJ41" s="7"/>
      <c r="AK41" s="7"/>
      <c r="AL41" s="9">
        <v>2</v>
      </c>
      <c r="AM41" s="9">
        <v>0</v>
      </c>
      <c r="AN41" s="9"/>
      <c r="AO41" s="9"/>
      <c r="AQ41" s="7"/>
      <c r="AR41" s="7"/>
      <c r="AS41" s="9">
        <v>3</v>
      </c>
      <c r="AT41" s="9">
        <v>0</v>
      </c>
      <c r="AU41" s="9"/>
      <c r="AV41" s="9"/>
      <c r="AX41" s="7"/>
      <c r="AY41" s="7"/>
      <c r="AZ41" s="9">
        <v>2</v>
      </c>
      <c r="BA41" s="9">
        <v>0</v>
      </c>
      <c r="BB41" s="9"/>
      <c r="BC41" s="9"/>
      <c r="BE41" s="38"/>
      <c r="BF41" s="38"/>
      <c r="BG41" s="41">
        <v>2</v>
      </c>
      <c r="BH41" s="41">
        <v>0</v>
      </c>
      <c r="BI41" s="41"/>
      <c r="BJ41" s="41"/>
      <c r="BL41" s="38"/>
      <c r="BM41" s="38"/>
      <c r="BN41" s="41">
        <v>0</v>
      </c>
      <c r="BO41" s="41">
        <v>2</v>
      </c>
      <c r="BP41" s="41"/>
      <c r="BQ41" s="41"/>
      <c r="BS41" s="38"/>
      <c r="BT41" s="38"/>
      <c r="BU41" s="41">
        <v>2</v>
      </c>
      <c r="BV41" s="41">
        <v>0</v>
      </c>
      <c r="BW41" s="41"/>
      <c r="BX41" s="41"/>
      <c r="BZ41" s="38"/>
      <c r="CA41" s="38"/>
      <c r="CB41" s="41">
        <v>0</v>
      </c>
      <c r="CC41" s="41">
        <v>1</v>
      </c>
      <c r="CD41" s="41"/>
      <c r="CE41" s="41"/>
    </row>
    <row r="42" spans="1:83">
      <c r="A42" s="7"/>
      <c r="B42" s="7">
        <v>2</v>
      </c>
      <c r="C42" s="9" t="s">
        <v>55</v>
      </c>
      <c r="D42" s="9" t="s">
        <v>75</v>
      </c>
      <c r="E42" s="9"/>
      <c r="F42" s="7"/>
      <c r="H42" s="7"/>
      <c r="I42" s="7">
        <v>2</v>
      </c>
      <c r="J42" s="9" t="s">
        <v>67</v>
      </c>
      <c r="K42" s="9" t="s">
        <v>118</v>
      </c>
      <c r="L42" s="9"/>
      <c r="M42" s="9"/>
      <c r="O42" s="7"/>
      <c r="P42" s="7">
        <v>2</v>
      </c>
      <c r="Q42" s="9" t="s">
        <v>138</v>
      </c>
      <c r="R42" s="9" t="s">
        <v>67</v>
      </c>
      <c r="S42" s="9"/>
      <c r="T42" s="9"/>
      <c r="V42" s="7"/>
      <c r="W42" s="7">
        <v>2</v>
      </c>
      <c r="X42" s="9" t="s">
        <v>138</v>
      </c>
      <c r="Y42" s="9" t="s">
        <v>59</v>
      </c>
      <c r="Z42" s="9"/>
      <c r="AA42" s="9"/>
      <c r="AC42" s="7"/>
      <c r="AD42" s="7">
        <v>2</v>
      </c>
      <c r="AE42" s="9" t="s">
        <v>57</v>
      </c>
      <c r="AF42" s="9" t="s">
        <v>142</v>
      </c>
      <c r="AG42" s="9"/>
      <c r="AH42" s="9"/>
      <c r="AJ42" s="7"/>
      <c r="AK42" s="7">
        <v>2</v>
      </c>
      <c r="AL42" s="9" t="s">
        <v>81</v>
      </c>
      <c r="AM42" s="9" t="s">
        <v>67</v>
      </c>
      <c r="AN42" s="9"/>
      <c r="AO42" s="9"/>
      <c r="AQ42" s="7" t="s">
        <v>272</v>
      </c>
      <c r="AR42" s="7">
        <v>2</v>
      </c>
      <c r="AS42" s="9" t="s">
        <v>203</v>
      </c>
      <c r="AT42" s="9" t="s">
        <v>50</v>
      </c>
      <c r="AU42" s="9"/>
      <c r="AV42" s="9"/>
      <c r="AX42" s="7"/>
      <c r="AY42" s="7">
        <v>2</v>
      </c>
      <c r="AZ42" s="9" t="s">
        <v>75</v>
      </c>
      <c r="BA42" s="9" t="s">
        <v>41</v>
      </c>
      <c r="BB42" s="9"/>
      <c r="BC42" s="9"/>
      <c r="BE42" s="38"/>
      <c r="BF42" s="38">
        <v>2</v>
      </c>
      <c r="BG42" s="41" t="s">
        <v>147</v>
      </c>
      <c r="BH42" s="41" t="s">
        <v>67</v>
      </c>
      <c r="BI42" s="41"/>
      <c r="BJ42" s="41"/>
      <c r="BL42" s="38"/>
      <c r="BM42" s="38">
        <v>2</v>
      </c>
      <c r="BN42" s="41" t="s">
        <v>88</v>
      </c>
      <c r="BO42" s="41" t="s">
        <v>40</v>
      </c>
      <c r="BP42" s="41"/>
      <c r="BQ42" s="41"/>
      <c r="BS42" s="38"/>
      <c r="BT42" s="38">
        <v>2</v>
      </c>
      <c r="BU42" s="41" t="s">
        <v>169</v>
      </c>
      <c r="BV42" s="41" t="s">
        <v>40</v>
      </c>
      <c r="BW42" s="41"/>
      <c r="BX42" s="41"/>
      <c r="BZ42" s="38"/>
      <c r="CA42" s="38">
        <v>2</v>
      </c>
      <c r="CB42" s="41" t="s">
        <v>62</v>
      </c>
      <c r="CC42" s="41" t="s">
        <v>92</v>
      </c>
      <c r="CD42" s="41"/>
      <c r="CE42" s="41"/>
    </row>
    <row r="43" spans="1:83">
      <c r="A43" s="7"/>
      <c r="B43" s="7"/>
      <c r="C43" s="9">
        <v>0</v>
      </c>
      <c r="D43" s="9">
        <v>1</v>
      </c>
      <c r="E43" s="9"/>
      <c r="F43" s="7"/>
      <c r="H43" s="7"/>
      <c r="I43" s="7"/>
      <c r="J43" s="9">
        <v>0</v>
      </c>
      <c r="K43" s="9">
        <v>3</v>
      </c>
      <c r="L43" s="9"/>
      <c r="M43" s="9"/>
      <c r="O43" s="7"/>
      <c r="P43" s="7"/>
      <c r="Q43" s="9">
        <v>1</v>
      </c>
      <c r="R43" s="9">
        <v>0</v>
      </c>
      <c r="S43" s="9"/>
      <c r="T43" s="9"/>
      <c r="V43" s="7"/>
      <c r="W43" s="7"/>
      <c r="X43" s="9">
        <v>2</v>
      </c>
      <c r="Y43" s="9">
        <v>0</v>
      </c>
      <c r="Z43" s="9"/>
      <c r="AA43" s="9"/>
      <c r="AC43" s="7"/>
      <c r="AD43" s="7"/>
      <c r="AE43" s="9">
        <v>0</v>
      </c>
      <c r="AF43" s="9">
        <v>1</v>
      </c>
      <c r="AG43" s="9"/>
      <c r="AH43" s="9"/>
      <c r="AJ43" s="7"/>
      <c r="AK43" s="7"/>
      <c r="AL43" s="9">
        <v>1</v>
      </c>
      <c r="AM43" s="9">
        <v>0</v>
      </c>
      <c r="AN43" s="9"/>
      <c r="AO43" s="9"/>
      <c r="AQ43" s="7"/>
      <c r="AR43" s="7"/>
      <c r="AS43" s="9">
        <v>3</v>
      </c>
      <c r="AT43" s="9">
        <v>0</v>
      </c>
      <c r="AU43" s="9"/>
      <c r="AV43" s="9"/>
      <c r="AX43" s="7"/>
      <c r="AY43" s="7"/>
      <c r="AZ43" s="9">
        <v>1</v>
      </c>
      <c r="BA43" s="9">
        <v>0</v>
      </c>
      <c r="BB43" s="9"/>
      <c r="BC43" s="9"/>
      <c r="BE43" s="38"/>
      <c r="BF43" s="38"/>
      <c r="BG43" s="41">
        <v>2</v>
      </c>
      <c r="BH43" s="41">
        <v>0</v>
      </c>
      <c r="BI43" s="41"/>
      <c r="BJ43" s="41"/>
      <c r="BL43" s="38"/>
      <c r="BM43" s="38"/>
      <c r="BN43" s="41">
        <v>2</v>
      </c>
      <c r="BO43" s="41">
        <v>0</v>
      </c>
      <c r="BP43" s="41"/>
      <c r="BQ43" s="41"/>
      <c r="BS43" s="38"/>
      <c r="BT43" s="38"/>
      <c r="BU43" s="41">
        <v>1</v>
      </c>
      <c r="BV43" s="41">
        <v>0</v>
      </c>
      <c r="BW43" s="41"/>
      <c r="BX43" s="41"/>
      <c r="BZ43" s="38"/>
      <c r="CA43" s="38"/>
      <c r="CB43" s="41">
        <v>0</v>
      </c>
      <c r="CC43" s="41">
        <v>2</v>
      </c>
      <c r="CD43" s="41"/>
      <c r="CE43" s="41"/>
    </row>
    <row r="44" spans="1:83">
      <c r="A44" s="7"/>
      <c r="B44" s="7">
        <v>3</v>
      </c>
      <c r="C44" s="9" t="s">
        <v>141</v>
      </c>
      <c r="D44" s="9" t="s">
        <v>59</v>
      </c>
      <c r="E44" s="7"/>
      <c r="F44" s="7"/>
      <c r="H44" s="7"/>
      <c r="I44" s="7">
        <v>3</v>
      </c>
      <c r="J44" s="9" t="s">
        <v>151</v>
      </c>
      <c r="K44" s="9" t="s">
        <v>60</v>
      </c>
      <c r="L44" s="9"/>
      <c r="M44" s="9"/>
      <c r="O44" s="7"/>
      <c r="P44" s="7">
        <v>3</v>
      </c>
      <c r="Q44" s="9" t="s">
        <v>110</v>
      </c>
      <c r="R44" s="9" t="s">
        <v>24</v>
      </c>
      <c r="S44" s="9"/>
      <c r="T44" s="9"/>
      <c r="V44" s="7"/>
      <c r="W44" s="7">
        <v>3</v>
      </c>
      <c r="X44" s="9" t="s">
        <v>112</v>
      </c>
      <c r="Y44" s="9" t="s">
        <v>60</v>
      </c>
      <c r="Z44" s="9"/>
      <c r="AA44" s="9"/>
      <c r="AC44" s="7"/>
      <c r="AD44" s="7">
        <v>3</v>
      </c>
      <c r="AE44" s="9" t="s">
        <v>203</v>
      </c>
      <c r="AF44" s="9" t="s">
        <v>67</v>
      </c>
      <c r="AG44" s="9"/>
      <c r="AH44" s="9"/>
      <c r="AJ44" s="7"/>
      <c r="AK44" s="7">
        <v>3</v>
      </c>
      <c r="AL44" s="9" t="s">
        <v>75</v>
      </c>
      <c r="AM44" s="9" t="s">
        <v>40</v>
      </c>
      <c r="AN44" s="9"/>
      <c r="AO44" s="9"/>
      <c r="AQ44" s="7" t="s">
        <v>273</v>
      </c>
      <c r="AR44" s="7">
        <v>3</v>
      </c>
      <c r="AS44" s="9" t="s">
        <v>36</v>
      </c>
      <c r="AT44" s="9" t="s">
        <v>142</v>
      </c>
      <c r="AU44" s="9"/>
      <c r="AV44" s="9"/>
      <c r="AX44" s="7" t="s">
        <v>310</v>
      </c>
      <c r="AY44" s="7">
        <v>3</v>
      </c>
      <c r="AZ44" s="9" t="s">
        <v>62</v>
      </c>
      <c r="BA44" s="9" t="s">
        <v>143</v>
      </c>
      <c r="BB44" s="9"/>
      <c r="BC44" s="9"/>
      <c r="BE44" s="38" t="s">
        <v>200</v>
      </c>
      <c r="BF44" s="38">
        <v>3</v>
      </c>
      <c r="BG44" s="41" t="s">
        <v>203</v>
      </c>
      <c r="BH44" s="41" t="s">
        <v>50</v>
      </c>
      <c r="BI44" s="41"/>
      <c r="BJ44" s="41"/>
      <c r="BL44" s="38" t="s">
        <v>329</v>
      </c>
      <c r="BM44" s="38">
        <v>3</v>
      </c>
      <c r="BN44" s="41" t="s">
        <v>24</v>
      </c>
      <c r="BO44" s="41" t="s">
        <v>143</v>
      </c>
      <c r="BP44" s="41"/>
      <c r="BQ44" s="41"/>
      <c r="BS44" s="38"/>
      <c r="BT44" s="38">
        <v>3</v>
      </c>
      <c r="BU44" s="41" t="s">
        <v>59</v>
      </c>
      <c r="BV44" s="41" t="s">
        <v>147</v>
      </c>
      <c r="BW44" s="41"/>
      <c r="BX44" s="41"/>
      <c r="BZ44" s="38" t="s">
        <v>327</v>
      </c>
      <c r="CA44" s="38">
        <v>3</v>
      </c>
      <c r="CB44" s="41" t="s">
        <v>67</v>
      </c>
      <c r="CC44" s="70" t="s">
        <v>59</v>
      </c>
      <c r="CD44" s="41" t="s">
        <v>147</v>
      </c>
      <c r="CE44" s="41" t="s">
        <v>122</v>
      </c>
    </row>
    <row r="45" spans="1:83">
      <c r="A45" s="7"/>
      <c r="B45" s="7"/>
      <c r="C45" s="9">
        <v>1</v>
      </c>
      <c r="D45" s="9">
        <v>0</v>
      </c>
      <c r="E45" s="9"/>
      <c r="F45" s="7"/>
      <c r="H45" s="7"/>
      <c r="I45" s="7"/>
      <c r="J45" s="9">
        <v>1</v>
      </c>
      <c r="K45" s="9">
        <v>0</v>
      </c>
      <c r="L45" s="9"/>
      <c r="M45" s="9"/>
      <c r="O45" s="7"/>
      <c r="P45" s="7"/>
      <c r="Q45" s="9">
        <v>1</v>
      </c>
      <c r="R45" s="9">
        <v>0</v>
      </c>
      <c r="S45" s="9"/>
      <c r="T45" s="9"/>
      <c r="V45" s="7"/>
      <c r="W45" s="7"/>
      <c r="X45" s="9">
        <v>1</v>
      </c>
      <c r="Y45" s="9">
        <v>0</v>
      </c>
      <c r="Z45" s="9"/>
      <c r="AA45" s="9"/>
      <c r="AC45" s="7"/>
      <c r="AD45" s="7"/>
      <c r="AE45" s="9">
        <v>2</v>
      </c>
      <c r="AF45" s="9">
        <v>0</v>
      </c>
      <c r="AG45" s="9"/>
      <c r="AH45" s="9"/>
      <c r="AJ45" s="7"/>
      <c r="AK45" s="7"/>
      <c r="AL45" s="9">
        <v>2</v>
      </c>
      <c r="AM45" s="9">
        <v>0</v>
      </c>
      <c r="AN45" s="9"/>
      <c r="AO45" s="9"/>
      <c r="AQ45" s="7"/>
      <c r="AR45" s="7"/>
      <c r="AS45" s="9">
        <v>0</v>
      </c>
      <c r="AT45" s="9">
        <v>2</v>
      </c>
      <c r="AU45" s="9"/>
      <c r="AV45" s="9"/>
      <c r="AX45" s="7" t="s">
        <v>314</v>
      </c>
      <c r="AY45" s="7"/>
      <c r="AZ45" s="9">
        <v>0</v>
      </c>
      <c r="BA45" s="9">
        <v>2</v>
      </c>
      <c r="BB45" s="9"/>
      <c r="BC45" s="9"/>
      <c r="BE45" s="38" t="s">
        <v>148</v>
      </c>
      <c r="BF45" s="38"/>
      <c r="BG45" s="41">
        <v>56</v>
      </c>
      <c r="BH45" s="41">
        <v>46</v>
      </c>
      <c r="BI45" s="41"/>
      <c r="BJ45" s="41"/>
      <c r="BL45" s="38" t="s">
        <v>827</v>
      </c>
      <c r="BM45" s="38"/>
      <c r="BN45" s="41">
        <v>0</v>
      </c>
      <c r="BO45" s="41">
        <v>1</v>
      </c>
      <c r="BP45" s="41"/>
      <c r="BQ45" s="41"/>
      <c r="BS45" s="38"/>
      <c r="BT45" s="38"/>
      <c r="BU45" s="41">
        <v>0</v>
      </c>
      <c r="BV45" s="41">
        <v>1</v>
      </c>
      <c r="BW45" s="41"/>
      <c r="BX45" s="41"/>
      <c r="BZ45" s="38"/>
      <c r="CA45" s="38"/>
      <c r="CB45" s="41">
        <v>0</v>
      </c>
      <c r="CC45" s="41">
        <v>0</v>
      </c>
      <c r="CD45" s="41">
        <v>0</v>
      </c>
      <c r="CE45" s="41">
        <v>2</v>
      </c>
    </row>
    <row r="46" spans="1:83">
      <c r="A46" s="7" t="s">
        <v>136</v>
      </c>
      <c r="B46" s="7">
        <v>4</v>
      </c>
      <c r="C46" s="9" t="s">
        <v>64</v>
      </c>
      <c r="D46" s="23" t="s">
        <v>53</v>
      </c>
      <c r="E46" s="9" t="s">
        <v>143</v>
      </c>
      <c r="F46" s="9" t="s">
        <v>142</v>
      </c>
      <c r="H46" s="7" t="s">
        <v>146</v>
      </c>
      <c r="I46" s="7">
        <v>4</v>
      </c>
      <c r="J46" s="9" t="s">
        <v>75</v>
      </c>
      <c r="K46" s="9" t="s">
        <v>62</v>
      </c>
      <c r="L46" s="9"/>
      <c r="M46" s="9"/>
      <c r="O46" s="7"/>
      <c r="P46" s="7">
        <v>4</v>
      </c>
      <c r="Q46" s="9" t="s">
        <v>60</v>
      </c>
      <c r="R46" s="9" t="s">
        <v>111</v>
      </c>
      <c r="S46" s="9"/>
      <c r="T46" s="9"/>
      <c r="V46" s="7" t="s">
        <v>137</v>
      </c>
      <c r="W46" s="7">
        <v>4</v>
      </c>
      <c r="X46" s="9" t="s">
        <v>62</v>
      </c>
      <c r="Y46" s="9" t="s">
        <v>141</v>
      </c>
      <c r="Z46" s="9"/>
      <c r="AA46" s="9"/>
      <c r="AC46" s="7"/>
      <c r="AD46" s="7">
        <v>4</v>
      </c>
      <c r="AE46" s="9" t="s">
        <v>75</v>
      </c>
      <c r="AF46" s="9" t="s">
        <v>60</v>
      </c>
      <c r="AG46" s="9"/>
      <c r="AH46" s="9"/>
      <c r="AJ46" s="7"/>
      <c r="AK46" s="7">
        <v>4</v>
      </c>
      <c r="AL46" s="9" t="s">
        <v>110</v>
      </c>
      <c r="AM46" s="9" t="s">
        <v>58</v>
      </c>
      <c r="AN46" s="9"/>
      <c r="AO46" s="9"/>
      <c r="AQ46" s="7" t="s">
        <v>274</v>
      </c>
      <c r="AR46" s="7">
        <v>4</v>
      </c>
      <c r="AS46" s="9" t="s">
        <v>70</v>
      </c>
      <c r="AT46" s="9" t="s">
        <v>82</v>
      </c>
      <c r="AU46" s="9"/>
      <c r="AV46" s="9"/>
      <c r="AX46" s="7" t="s">
        <v>310</v>
      </c>
      <c r="AY46" s="7">
        <v>4</v>
      </c>
      <c r="AZ46" s="9" t="s">
        <v>88</v>
      </c>
      <c r="BA46" s="9" t="s">
        <v>53</v>
      </c>
      <c r="BB46" s="9"/>
      <c r="BC46" s="9"/>
      <c r="BE46" s="38"/>
      <c r="BF46" s="38">
        <v>4</v>
      </c>
      <c r="BG46" s="41" t="s">
        <v>138</v>
      </c>
      <c r="BH46" s="41" t="s">
        <v>82</v>
      </c>
      <c r="BI46" s="41"/>
      <c r="BJ46" s="41"/>
      <c r="BL46" s="38"/>
      <c r="BM46" s="38">
        <v>4</v>
      </c>
      <c r="BN46" s="41" t="s">
        <v>330</v>
      </c>
      <c r="BO46" s="41" t="s">
        <v>36</v>
      </c>
      <c r="BP46" s="41"/>
      <c r="BQ46" s="41"/>
      <c r="BS46" s="38" t="s">
        <v>265</v>
      </c>
      <c r="BT46" s="38">
        <v>4</v>
      </c>
      <c r="BU46" s="41" t="s">
        <v>203</v>
      </c>
      <c r="BV46" s="41" t="s">
        <v>50</v>
      </c>
      <c r="BW46" s="41"/>
      <c r="BX46" s="41"/>
      <c r="BZ46" s="38" t="s">
        <v>309</v>
      </c>
      <c r="CA46" s="38">
        <v>4</v>
      </c>
      <c r="CB46" s="41" t="s">
        <v>75</v>
      </c>
      <c r="CC46" s="41" t="s">
        <v>84</v>
      </c>
      <c r="CD46" s="41"/>
      <c r="CE46" s="41"/>
    </row>
    <row r="47" spans="1:83">
      <c r="A47" s="7"/>
      <c r="B47" s="7"/>
      <c r="C47" s="9">
        <v>0</v>
      </c>
      <c r="D47" s="9">
        <v>0</v>
      </c>
      <c r="E47" s="9">
        <v>0</v>
      </c>
      <c r="F47" s="9">
        <v>1</v>
      </c>
      <c r="H47" s="7" t="s">
        <v>168</v>
      </c>
      <c r="I47" s="7"/>
      <c r="J47" s="9">
        <v>1</v>
      </c>
      <c r="K47" s="9">
        <v>0</v>
      </c>
      <c r="L47" s="9"/>
      <c r="M47" s="9"/>
      <c r="O47" s="7"/>
      <c r="P47" s="7"/>
      <c r="Q47" s="9">
        <v>0</v>
      </c>
      <c r="R47" s="9">
        <v>2</v>
      </c>
      <c r="S47" s="9"/>
      <c r="T47" s="9"/>
      <c r="V47" s="7"/>
      <c r="W47" s="7"/>
      <c r="X47" s="9">
        <v>0</v>
      </c>
      <c r="Y47" s="9">
        <v>3</v>
      </c>
      <c r="Z47" s="9"/>
      <c r="AA47" s="9"/>
      <c r="AC47" s="7"/>
      <c r="AD47" s="7"/>
      <c r="AE47" s="9">
        <v>3</v>
      </c>
      <c r="AF47" s="9">
        <v>0</v>
      </c>
      <c r="AG47" s="9"/>
      <c r="AH47" s="9"/>
      <c r="AJ47" s="7"/>
      <c r="AK47" s="7"/>
      <c r="AL47" s="9">
        <v>2</v>
      </c>
      <c r="AM47" s="9">
        <v>0</v>
      </c>
      <c r="AN47" s="9"/>
      <c r="AO47" s="9"/>
      <c r="AQ47" s="7"/>
      <c r="AR47" s="7"/>
      <c r="AS47" s="9">
        <v>2</v>
      </c>
      <c r="AT47" s="9">
        <v>0</v>
      </c>
      <c r="AU47" s="9"/>
      <c r="AV47" s="9"/>
      <c r="AX47" s="7" t="s">
        <v>314</v>
      </c>
      <c r="AY47" s="7"/>
      <c r="AZ47" s="9">
        <v>1</v>
      </c>
      <c r="BA47" s="9">
        <v>0</v>
      </c>
      <c r="BB47" s="9"/>
      <c r="BC47" s="9"/>
      <c r="BE47" s="38"/>
      <c r="BF47" s="38"/>
      <c r="BG47" s="41">
        <v>3</v>
      </c>
      <c r="BH47" s="41">
        <v>0</v>
      </c>
      <c r="BI47" s="41"/>
      <c r="BJ47" s="41"/>
      <c r="BL47" s="38"/>
      <c r="BM47" s="38"/>
      <c r="BN47" s="41">
        <v>2</v>
      </c>
      <c r="BO47" s="41">
        <v>0</v>
      </c>
      <c r="BP47" s="41"/>
      <c r="BQ47" s="41"/>
      <c r="BS47" s="38" t="s">
        <v>148</v>
      </c>
      <c r="BT47" s="38"/>
      <c r="BU47" s="41">
        <v>77</v>
      </c>
      <c r="BV47" s="41">
        <v>30</v>
      </c>
      <c r="BW47" s="41"/>
      <c r="BX47" s="41"/>
      <c r="BZ47" s="38"/>
      <c r="CA47" s="38"/>
      <c r="CB47" s="41">
        <v>1</v>
      </c>
      <c r="CC47" s="41">
        <v>0</v>
      </c>
      <c r="CD47" s="41"/>
      <c r="CE47" s="41"/>
    </row>
    <row r="48" spans="1:83">
      <c r="A48" s="7" t="s">
        <v>137</v>
      </c>
      <c r="B48" s="7">
        <v>5</v>
      </c>
      <c r="C48" s="9" t="s">
        <v>111</v>
      </c>
      <c r="D48" s="9" t="s">
        <v>60</v>
      </c>
      <c r="E48" s="9"/>
      <c r="F48" s="7"/>
      <c r="H48" s="7" t="s">
        <v>158</v>
      </c>
      <c r="I48" s="7">
        <v>5</v>
      </c>
      <c r="J48" s="9" t="s">
        <v>59</v>
      </c>
      <c r="K48" s="9" t="s">
        <v>169</v>
      </c>
      <c r="L48" s="9"/>
      <c r="M48" s="9"/>
      <c r="O48" s="7" t="s">
        <v>200</v>
      </c>
      <c r="P48" s="7">
        <v>5</v>
      </c>
      <c r="Q48" s="9" t="s">
        <v>57</v>
      </c>
      <c r="R48" s="9" t="s">
        <v>145</v>
      </c>
      <c r="S48" s="9"/>
      <c r="T48" s="9"/>
      <c r="V48" s="7" t="s">
        <v>220</v>
      </c>
      <c r="W48" s="7">
        <v>5</v>
      </c>
      <c r="X48" s="9" t="s">
        <v>56</v>
      </c>
      <c r="Y48" s="9" t="s">
        <v>118</v>
      </c>
      <c r="Z48" s="9"/>
      <c r="AA48" s="9"/>
      <c r="AC48" s="7" t="s">
        <v>157</v>
      </c>
      <c r="AD48" s="7">
        <v>5</v>
      </c>
      <c r="AE48" s="9" t="s">
        <v>53</v>
      </c>
      <c r="AF48" s="9" t="s">
        <v>111</v>
      </c>
      <c r="AG48" s="9"/>
      <c r="AH48" s="9"/>
      <c r="AJ48" s="7" t="s">
        <v>157</v>
      </c>
      <c r="AK48" s="7">
        <v>5</v>
      </c>
      <c r="AL48" s="9" t="s">
        <v>47</v>
      </c>
      <c r="AM48" s="9" t="s">
        <v>142</v>
      </c>
      <c r="AN48" s="9"/>
      <c r="AO48" s="9"/>
      <c r="AQ48" s="7" t="s">
        <v>275</v>
      </c>
      <c r="AR48" s="7">
        <v>5</v>
      </c>
      <c r="AS48" s="9" t="s">
        <v>24</v>
      </c>
      <c r="AT48" s="9" t="s">
        <v>151</v>
      </c>
      <c r="AU48" s="9" t="s">
        <v>66</v>
      </c>
      <c r="AV48" s="9"/>
      <c r="AX48" s="7" t="s">
        <v>309</v>
      </c>
      <c r="AY48" s="7">
        <v>5</v>
      </c>
      <c r="AZ48" s="9" t="s">
        <v>63</v>
      </c>
      <c r="BA48" s="9" t="s">
        <v>118</v>
      </c>
      <c r="BB48" s="9"/>
      <c r="BC48" s="9"/>
      <c r="BE48" s="38" t="s">
        <v>223</v>
      </c>
      <c r="BF48" s="38">
        <v>5</v>
      </c>
      <c r="BG48" s="41" t="s">
        <v>64</v>
      </c>
      <c r="BH48" s="41" t="s">
        <v>151</v>
      </c>
      <c r="BI48" s="41"/>
      <c r="BJ48" s="41"/>
      <c r="BL48" s="38" t="s">
        <v>223</v>
      </c>
      <c r="BM48" s="38">
        <v>5</v>
      </c>
      <c r="BN48" s="41" t="s">
        <v>151</v>
      </c>
      <c r="BO48" s="41" t="s">
        <v>63</v>
      </c>
      <c r="BP48" s="41"/>
      <c r="BQ48" s="41"/>
      <c r="BS48" s="38" t="s">
        <v>135</v>
      </c>
      <c r="BT48" s="38">
        <v>5</v>
      </c>
      <c r="BU48" s="41" t="s">
        <v>118</v>
      </c>
      <c r="BV48" s="41" t="s">
        <v>66</v>
      </c>
      <c r="BW48" s="41"/>
      <c r="BX48" s="41"/>
      <c r="BZ48" s="38" t="s">
        <v>309</v>
      </c>
      <c r="CA48" s="38">
        <v>5</v>
      </c>
      <c r="CB48" s="41" t="s">
        <v>63</v>
      </c>
      <c r="CC48" s="41" t="s">
        <v>110</v>
      </c>
      <c r="CD48" s="41"/>
      <c r="CE48" s="41"/>
    </row>
    <row r="49" spans="1:83">
      <c r="A49" s="7"/>
      <c r="B49" s="7"/>
      <c r="C49" s="9">
        <v>3</v>
      </c>
      <c r="D49" s="9">
        <v>0</v>
      </c>
      <c r="E49" s="9"/>
      <c r="F49" s="7"/>
      <c r="H49" s="7"/>
      <c r="I49" s="7"/>
      <c r="J49" s="9">
        <v>0</v>
      </c>
      <c r="K49" s="9">
        <v>2</v>
      </c>
      <c r="L49" s="9"/>
      <c r="M49" s="9"/>
      <c r="O49" s="7" t="s">
        <v>148</v>
      </c>
      <c r="P49" s="7"/>
      <c r="Q49" s="9">
        <v>67</v>
      </c>
      <c r="R49" s="9">
        <v>133</v>
      </c>
      <c r="S49" s="9"/>
      <c r="T49" s="9"/>
      <c r="V49" s="7"/>
      <c r="W49" s="7"/>
      <c r="X49" s="9">
        <v>0</v>
      </c>
      <c r="Y49" s="9">
        <v>1</v>
      </c>
      <c r="Z49" s="9"/>
      <c r="AA49" s="9"/>
      <c r="AC49" s="7"/>
      <c r="AD49" s="7"/>
      <c r="AE49" s="9">
        <v>0</v>
      </c>
      <c r="AF49" s="9">
        <v>1</v>
      </c>
      <c r="AG49" s="9"/>
      <c r="AH49" s="9"/>
      <c r="AJ49" s="7"/>
      <c r="AK49" s="7"/>
      <c r="AL49" s="9">
        <v>0</v>
      </c>
      <c r="AM49" s="9">
        <v>1</v>
      </c>
      <c r="AN49" s="9"/>
      <c r="AO49" s="9"/>
      <c r="AQ49" s="7" t="s">
        <v>289</v>
      </c>
      <c r="AR49" s="7"/>
      <c r="AS49" s="9">
        <v>0</v>
      </c>
      <c r="AT49" s="9">
        <v>3</v>
      </c>
      <c r="AU49" s="9">
        <v>0</v>
      </c>
      <c r="AV49" s="9"/>
      <c r="AX49" s="7"/>
      <c r="AY49" s="7"/>
      <c r="AZ49" s="9">
        <v>0</v>
      </c>
      <c r="BA49" s="9">
        <v>3</v>
      </c>
      <c r="BB49" s="9"/>
      <c r="BC49" s="9"/>
      <c r="BE49" s="38"/>
      <c r="BF49" s="38"/>
      <c r="BG49" s="41">
        <v>0</v>
      </c>
      <c r="BH49" s="41">
        <v>1</v>
      </c>
      <c r="BI49" s="41"/>
      <c r="BJ49" s="41"/>
      <c r="BL49" s="38"/>
      <c r="BM49" s="38"/>
      <c r="BN49" s="41">
        <v>2</v>
      </c>
      <c r="BO49" s="41">
        <v>0</v>
      </c>
      <c r="BP49" s="41"/>
      <c r="BQ49" s="41"/>
      <c r="BS49" s="38"/>
      <c r="BT49" s="38"/>
      <c r="BU49" s="41">
        <v>2</v>
      </c>
      <c r="BV49" s="41">
        <v>0</v>
      </c>
      <c r="BW49" s="41"/>
      <c r="BX49" s="41"/>
      <c r="BZ49" s="38"/>
      <c r="CA49" s="38"/>
      <c r="CB49" s="41">
        <v>0</v>
      </c>
      <c r="CC49" s="41">
        <v>1</v>
      </c>
      <c r="CD49" s="41"/>
      <c r="CE49" s="41"/>
    </row>
    <row r="50" spans="1:83">
      <c r="Q50" s="6"/>
      <c r="R50" s="6"/>
      <c r="S50" s="6"/>
      <c r="T50" s="6"/>
      <c r="X50" s="6"/>
      <c r="Y50" s="6"/>
      <c r="Z50" s="6"/>
      <c r="AA50" s="6"/>
      <c r="AE50" s="6"/>
      <c r="AF50" s="6"/>
      <c r="AG50" s="6"/>
      <c r="AH50" s="6"/>
      <c r="AL50" s="6"/>
      <c r="AM50" s="6"/>
      <c r="AN50" s="6"/>
      <c r="AO50" s="6"/>
      <c r="AS50" s="6"/>
      <c r="AT50" s="6"/>
      <c r="AU50" s="6"/>
      <c r="AV50" s="6"/>
      <c r="AZ50" s="6"/>
      <c r="BA50" s="6"/>
      <c r="BB50" s="6"/>
      <c r="BC50" s="6"/>
      <c r="BE50" s="32"/>
      <c r="BF50" s="32"/>
      <c r="BG50" s="33"/>
      <c r="BH50" s="33"/>
      <c r="BI50" s="33"/>
      <c r="BJ50" s="33"/>
      <c r="BL50" s="32"/>
      <c r="BM50" s="32"/>
      <c r="BN50" s="33"/>
      <c r="BO50" s="33"/>
      <c r="BP50" s="33"/>
      <c r="BQ50" s="33"/>
      <c r="BS50" s="32"/>
      <c r="BT50" s="32"/>
      <c r="BU50" s="33"/>
      <c r="BV50" s="33"/>
      <c r="BW50" s="33"/>
      <c r="BX50" s="33"/>
      <c r="BZ50" s="32"/>
      <c r="CA50" s="32"/>
      <c r="CB50" s="33"/>
      <c r="CC50" s="33"/>
      <c r="CD50" s="33"/>
      <c r="CE50" s="33"/>
    </row>
    <row r="51" spans="1:83" ht="21">
      <c r="A51" s="10"/>
      <c r="B51" s="11" t="s">
        <v>69</v>
      </c>
      <c r="C51" s="27" t="s">
        <v>133</v>
      </c>
      <c r="D51" s="12"/>
      <c r="E51" s="10"/>
      <c r="F51" s="10"/>
      <c r="H51" s="10"/>
      <c r="I51" s="11" t="s">
        <v>69</v>
      </c>
      <c r="J51" s="27" t="s">
        <v>467</v>
      </c>
      <c r="K51" s="12"/>
      <c r="L51" s="12"/>
      <c r="M51" s="12"/>
      <c r="O51" s="10"/>
      <c r="P51" s="11" t="s">
        <v>69</v>
      </c>
      <c r="Q51" s="27" t="s">
        <v>718</v>
      </c>
      <c r="R51" s="12"/>
      <c r="S51" s="12"/>
      <c r="T51" s="12"/>
      <c r="V51" s="10"/>
      <c r="W51" s="11" t="s">
        <v>69</v>
      </c>
      <c r="X51" s="27" t="s">
        <v>215</v>
      </c>
      <c r="Y51" s="12"/>
      <c r="Z51" s="12"/>
      <c r="AA51" s="12"/>
      <c r="AC51" s="10"/>
      <c r="AD51" s="11" t="s">
        <v>69</v>
      </c>
      <c r="AE51" s="27" t="s">
        <v>238</v>
      </c>
      <c r="AF51" s="12"/>
      <c r="AG51" s="12"/>
      <c r="AH51" s="12"/>
      <c r="AJ51" s="10"/>
      <c r="AK51" s="11" t="s">
        <v>69</v>
      </c>
      <c r="AL51" s="27" t="s">
        <v>259</v>
      </c>
      <c r="AM51" s="12"/>
      <c r="AN51" s="12"/>
      <c r="AO51" s="12"/>
      <c r="AQ51" s="10"/>
      <c r="AR51" s="11" t="s">
        <v>69</v>
      </c>
      <c r="AS51" s="27" t="s">
        <v>159</v>
      </c>
      <c r="AT51" s="12"/>
      <c r="AU51" s="12"/>
      <c r="AV51" s="12"/>
      <c r="AX51" s="10"/>
      <c r="AY51" s="11" t="s">
        <v>69</v>
      </c>
      <c r="AZ51" s="27" t="s">
        <v>154</v>
      </c>
      <c r="BA51" s="12"/>
      <c r="BB51" s="12"/>
      <c r="BC51" s="12"/>
      <c r="BE51" s="34"/>
      <c r="BF51" s="35" t="s">
        <v>69</v>
      </c>
      <c r="BG51" s="36" t="s">
        <v>181</v>
      </c>
      <c r="BH51" s="37"/>
      <c r="BI51" s="37"/>
      <c r="BJ51" s="37"/>
      <c r="BL51" s="34"/>
      <c r="BM51" s="35" t="s">
        <v>69</v>
      </c>
      <c r="BN51" s="36" t="s">
        <v>216</v>
      </c>
      <c r="BO51" s="37"/>
      <c r="BP51" s="37"/>
      <c r="BQ51" s="37"/>
      <c r="BS51" s="34"/>
      <c r="BT51" s="35" t="s">
        <v>69</v>
      </c>
      <c r="BU51" s="36" t="s">
        <v>239</v>
      </c>
      <c r="BV51" s="37"/>
      <c r="BW51" s="37"/>
      <c r="BX51" s="37"/>
      <c r="BZ51" s="34"/>
      <c r="CA51" s="35" t="s">
        <v>69</v>
      </c>
      <c r="CB51" s="36" t="s">
        <v>347</v>
      </c>
      <c r="CC51" s="37"/>
      <c r="CD51" s="37"/>
      <c r="CE51" s="37"/>
    </row>
    <row r="52" spans="1:83">
      <c r="A52" s="10" t="s">
        <v>140</v>
      </c>
      <c r="B52" s="10">
        <v>1</v>
      </c>
      <c r="C52" s="12" t="s">
        <v>122</v>
      </c>
      <c r="D52" s="12" t="s">
        <v>51</v>
      </c>
      <c r="E52" s="12"/>
      <c r="F52" s="10"/>
      <c r="H52" s="10" t="s">
        <v>167</v>
      </c>
      <c r="I52" s="10">
        <v>1</v>
      </c>
      <c r="J52" s="12" t="s">
        <v>75</v>
      </c>
      <c r="K52" s="12" t="s">
        <v>46</v>
      </c>
      <c r="L52" s="12"/>
      <c r="M52" s="12"/>
      <c r="O52" s="10" t="s">
        <v>202</v>
      </c>
      <c r="P52" s="10">
        <v>1</v>
      </c>
      <c r="Q52" s="47" t="s">
        <v>38</v>
      </c>
      <c r="R52" s="12" t="s">
        <v>195</v>
      </c>
      <c r="S52" s="12" t="s">
        <v>166</v>
      </c>
      <c r="T52" s="12"/>
      <c r="V52" s="10" t="s">
        <v>140</v>
      </c>
      <c r="W52" s="10">
        <v>1</v>
      </c>
      <c r="X52" s="12" t="s">
        <v>222</v>
      </c>
      <c r="Y52" s="12" t="s">
        <v>43</v>
      </c>
      <c r="Z52" s="12"/>
      <c r="AA52" s="12"/>
      <c r="AC52" s="10"/>
      <c r="AD52" s="10">
        <v>1</v>
      </c>
      <c r="AE52" s="12" t="s">
        <v>48</v>
      </c>
      <c r="AF52" s="12" t="s">
        <v>150</v>
      </c>
      <c r="AG52" s="12"/>
      <c r="AH52" s="12"/>
      <c r="AJ52" s="10"/>
      <c r="AK52" s="10">
        <v>1</v>
      </c>
      <c r="AL52" s="12" t="s">
        <v>117</v>
      </c>
      <c r="AM52" s="12" t="s">
        <v>43</v>
      </c>
      <c r="AN52" s="12"/>
      <c r="AO52" s="12"/>
      <c r="AQ52" s="10"/>
      <c r="AR52" s="10">
        <v>1</v>
      </c>
      <c r="AS52" s="12" t="s">
        <v>83</v>
      </c>
      <c r="AT52" s="12" t="s">
        <v>57</v>
      </c>
      <c r="AU52" s="12"/>
      <c r="AV52" s="12"/>
      <c r="AX52" s="10"/>
      <c r="AY52" s="10">
        <v>1</v>
      </c>
      <c r="AZ52" s="12" t="s">
        <v>163</v>
      </c>
      <c r="BA52" s="12" t="s">
        <v>48</v>
      </c>
      <c r="BB52" s="12"/>
      <c r="BC52" s="12"/>
      <c r="BE52" s="34" t="s">
        <v>136</v>
      </c>
      <c r="BF52" s="34">
        <v>1</v>
      </c>
      <c r="BG52" s="37" t="s">
        <v>263</v>
      </c>
      <c r="BH52" s="60" t="s">
        <v>166</v>
      </c>
      <c r="BI52" s="37" t="s">
        <v>57</v>
      </c>
      <c r="BJ52" s="37" t="s">
        <v>48</v>
      </c>
      <c r="BL52" s="34"/>
      <c r="BM52" s="34">
        <v>1</v>
      </c>
      <c r="BN52" s="37" t="s">
        <v>48</v>
      </c>
      <c r="BO52" s="37" t="s">
        <v>263</v>
      </c>
      <c r="BP52" s="37"/>
      <c r="BQ52" s="37"/>
      <c r="BS52" s="34"/>
      <c r="BT52" s="34">
        <v>1</v>
      </c>
      <c r="BU52" s="37" t="s">
        <v>123</v>
      </c>
      <c r="BV52" s="37" t="s">
        <v>39</v>
      </c>
      <c r="BW52" s="37"/>
      <c r="BX52" s="37"/>
      <c r="BZ52" s="34"/>
      <c r="CA52" s="34">
        <v>1</v>
      </c>
      <c r="CB52" s="37" t="s">
        <v>144</v>
      </c>
      <c r="CC52" s="37" t="s">
        <v>52</v>
      </c>
      <c r="CD52" s="37"/>
      <c r="CE52" s="37"/>
    </row>
    <row r="53" spans="1:83">
      <c r="A53" s="10"/>
      <c r="B53" s="10"/>
      <c r="C53" s="12">
        <v>2</v>
      </c>
      <c r="D53" s="12">
        <v>0</v>
      </c>
      <c r="E53" s="12"/>
      <c r="F53" s="10"/>
      <c r="H53" s="10"/>
      <c r="I53" s="10"/>
      <c r="J53" s="12">
        <v>3</v>
      </c>
      <c r="K53" s="12">
        <v>0</v>
      </c>
      <c r="L53" s="12"/>
      <c r="M53" s="12"/>
      <c r="O53" s="10" t="s">
        <v>892</v>
      </c>
      <c r="P53" s="10"/>
      <c r="Q53" s="12">
        <v>0</v>
      </c>
      <c r="R53" s="12">
        <v>1</v>
      </c>
      <c r="S53" s="12">
        <v>1</v>
      </c>
      <c r="T53" s="12"/>
      <c r="V53" s="10"/>
      <c r="W53" s="10"/>
      <c r="X53" s="12">
        <v>1</v>
      </c>
      <c r="Y53" s="12">
        <v>0</v>
      </c>
      <c r="Z53" s="12"/>
      <c r="AA53" s="12"/>
      <c r="AC53" s="10"/>
      <c r="AD53" s="10"/>
      <c r="AE53" s="12">
        <v>0</v>
      </c>
      <c r="AF53" s="12">
        <v>3</v>
      </c>
      <c r="AG53" s="12"/>
      <c r="AH53" s="12"/>
      <c r="AJ53" s="10"/>
      <c r="AK53" s="10"/>
      <c r="AL53" s="12">
        <v>2</v>
      </c>
      <c r="AM53" s="12">
        <v>0</v>
      </c>
      <c r="AN53" s="12"/>
      <c r="AO53" s="12"/>
      <c r="AQ53" s="10"/>
      <c r="AR53" s="10"/>
      <c r="AS53" s="12">
        <v>3</v>
      </c>
      <c r="AT53" s="12">
        <v>0</v>
      </c>
      <c r="AU53" s="12"/>
      <c r="AV53" s="12"/>
      <c r="AX53" s="10"/>
      <c r="AY53" s="10"/>
      <c r="AZ53" s="12">
        <v>1</v>
      </c>
      <c r="BA53" s="12">
        <v>0</v>
      </c>
      <c r="BB53" s="12"/>
      <c r="BC53" s="12"/>
      <c r="BE53" s="34"/>
      <c r="BF53" s="34"/>
      <c r="BG53" s="37">
        <v>0</v>
      </c>
      <c r="BH53" s="37">
        <v>2</v>
      </c>
      <c r="BI53" s="37">
        <v>0</v>
      </c>
      <c r="BJ53" s="37">
        <v>0</v>
      </c>
      <c r="BL53" s="34"/>
      <c r="BM53" s="34"/>
      <c r="BN53" s="37">
        <v>0</v>
      </c>
      <c r="BO53" s="37">
        <v>3</v>
      </c>
      <c r="BP53" s="37"/>
      <c r="BQ53" s="37"/>
      <c r="BS53" s="34"/>
      <c r="BT53" s="34"/>
      <c r="BU53" s="37">
        <v>1</v>
      </c>
      <c r="BV53" s="37">
        <v>0</v>
      </c>
      <c r="BW53" s="37"/>
      <c r="BX53" s="37"/>
      <c r="BZ53" s="34"/>
      <c r="CA53" s="34"/>
      <c r="CB53" s="37">
        <v>1</v>
      </c>
      <c r="CC53" s="37">
        <v>0</v>
      </c>
      <c r="CD53" s="37"/>
      <c r="CE53" s="37"/>
    </row>
    <row r="54" spans="1:83">
      <c r="A54" s="10"/>
      <c r="B54" s="10">
        <v>2</v>
      </c>
      <c r="C54" s="12" t="s">
        <v>81</v>
      </c>
      <c r="D54" s="12" t="s">
        <v>44</v>
      </c>
      <c r="E54" s="12"/>
      <c r="F54" s="10"/>
      <c r="H54" s="10" t="s">
        <v>139</v>
      </c>
      <c r="I54" s="10">
        <v>2</v>
      </c>
      <c r="J54" s="12" t="s">
        <v>36</v>
      </c>
      <c r="K54" s="12" t="s">
        <v>156</v>
      </c>
      <c r="L54" s="12"/>
      <c r="M54" s="12"/>
      <c r="O54" s="10"/>
      <c r="P54" s="10">
        <v>2</v>
      </c>
      <c r="Q54" s="12" t="s">
        <v>124</v>
      </c>
      <c r="R54" s="12" t="s">
        <v>82</v>
      </c>
      <c r="S54" s="12"/>
      <c r="T54" s="12"/>
      <c r="V54" s="10"/>
      <c r="W54" s="10">
        <v>2</v>
      </c>
      <c r="X54" s="12" t="s">
        <v>110</v>
      </c>
      <c r="Y54" s="12" t="s">
        <v>48</v>
      </c>
      <c r="Z54" s="12"/>
      <c r="AA54" s="12"/>
      <c r="AC54" s="10"/>
      <c r="AD54" s="10">
        <v>2</v>
      </c>
      <c r="AE54" s="12" t="s">
        <v>36</v>
      </c>
      <c r="AF54" s="12" t="s">
        <v>96</v>
      </c>
      <c r="AG54" s="12"/>
      <c r="AH54" s="12"/>
      <c r="AJ54" s="10" t="s">
        <v>264</v>
      </c>
      <c r="AK54" s="10">
        <v>2</v>
      </c>
      <c r="AL54" s="12" t="s">
        <v>52</v>
      </c>
      <c r="AM54" s="12" t="s">
        <v>263</v>
      </c>
      <c r="AN54" s="12"/>
      <c r="AO54" s="12"/>
      <c r="AQ54" s="10"/>
      <c r="AR54" s="10">
        <v>2</v>
      </c>
      <c r="AS54" s="12" t="s">
        <v>46</v>
      </c>
      <c r="AT54" s="12" t="s">
        <v>156</v>
      </c>
      <c r="AU54" s="12"/>
      <c r="AV54" s="12"/>
      <c r="AX54" s="10"/>
      <c r="AY54" s="10">
        <v>2</v>
      </c>
      <c r="AZ54" s="12" t="s">
        <v>166</v>
      </c>
      <c r="BA54" s="12" t="s">
        <v>45</v>
      </c>
      <c r="BB54" s="12"/>
      <c r="BC54" s="12"/>
      <c r="BE54" s="34"/>
      <c r="BF54" s="34">
        <v>2</v>
      </c>
      <c r="BG54" s="37" t="s">
        <v>156</v>
      </c>
      <c r="BH54" s="37" t="s">
        <v>44</v>
      </c>
      <c r="BI54" s="37"/>
      <c r="BJ54" s="37"/>
      <c r="BL54" s="34"/>
      <c r="BM54" s="34">
        <v>2</v>
      </c>
      <c r="BN54" s="37" t="s">
        <v>144</v>
      </c>
      <c r="BO54" s="37" t="s">
        <v>46</v>
      </c>
      <c r="BP54" s="37"/>
      <c r="BQ54" s="37"/>
      <c r="BS54" s="34"/>
      <c r="BT54" s="34">
        <v>2</v>
      </c>
      <c r="BU54" s="37" t="s">
        <v>48</v>
      </c>
      <c r="BV54" s="37" t="s">
        <v>222</v>
      </c>
      <c r="BW54" s="37"/>
      <c r="BX54" s="37"/>
      <c r="BZ54" s="34" t="s">
        <v>312</v>
      </c>
      <c r="CA54" s="34">
        <v>2</v>
      </c>
      <c r="CB54" s="37" t="s">
        <v>156</v>
      </c>
      <c r="CC54" s="37" t="s">
        <v>43</v>
      </c>
      <c r="CD54" s="37"/>
      <c r="CE54" s="37"/>
    </row>
    <row r="55" spans="1:83">
      <c r="A55" s="10"/>
      <c r="B55" s="10"/>
      <c r="C55" s="12">
        <v>2</v>
      </c>
      <c r="D55" s="12">
        <v>0</v>
      </c>
      <c r="E55" s="12"/>
      <c r="F55" s="10"/>
      <c r="H55" s="10"/>
      <c r="I55" s="10"/>
      <c r="J55" s="12">
        <v>-1</v>
      </c>
      <c r="K55" s="12">
        <v>1</v>
      </c>
      <c r="L55" s="12"/>
      <c r="M55" s="12"/>
      <c r="O55" s="10"/>
      <c r="P55" s="10"/>
      <c r="Q55" s="12">
        <v>2</v>
      </c>
      <c r="R55" s="12">
        <v>0</v>
      </c>
      <c r="S55" s="12"/>
      <c r="T55" s="12"/>
      <c r="V55" s="10"/>
      <c r="W55" s="10"/>
      <c r="X55" s="12">
        <v>3</v>
      </c>
      <c r="Y55" s="12">
        <v>0</v>
      </c>
      <c r="Z55" s="12"/>
      <c r="AA55" s="12"/>
      <c r="AC55" s="10"/>
      <c r="AD55" s="10"/>
      <c r="AE55" s="12">
        <v>0</v>
      </c>
      <c r="AF55" s="12">
        <v>3</v>
      </c>
      <c r="AG55" s="12"/>
      <c r="AH55" s="12"/>
      <c r="AJ55" s="10"/>
      <c r="AK55" s="10"/>
      <c r="AL55" s="12">
        <v>0</v>
      </c>
      <c r="AM55" s="12">
        <v>2</v>
      </c>
      <c r="AN55" s="12"/>
      <c r="AO55" s="12"/>
      <c r="AQ55" s="10"/>
      <c r="AR55" s="10"/>
      <c r="AS55" s="12">
        <v>0</v>
      </c>
      <c r="AT55" s="12">
        <v>2</v>
      </c>
      <c r="AU55" s="12"/>
      <c r="AV55" s="12"/>
      <c r="AX55" s="10"/>
      <c r="AY55" s="10"/>
      <c r="AZ55" s="12">
        <v>1</v>
      </c>
      <c r="BA55" s="12">
        <v>0</v>
      </c>
      <c r="BB55" s="12"/>
      <c r="BC55" s="12"/>
      <c r="BE55" s="34"/>
      <c r="BF55" s="34"/>
      <c r="BG55" s="37">
        <v>1</v>
      </c>
      <c r="BH55" s="37">
        <v>0</v>
      </c>
      <c r="BI55" s="37"/>
      <c r="BJ55" s="37"/>
      <c r="BL55" s="34"/>
      <c r="BM55" s="34"/>
      <c r="BN55" s="37">
        <v>2</v>
      </c>
      <c r="BO55" s="37">
        <v>0</v>
      </c>
      <c r="BP55" s="37"/>
      <c r="BQ55" s="37"/>
      <c r="BS55" s="34"/>
      <c r="BT55" s="34"/>
      <c r="BU55" s="37">
        <v>0</v>
      </c>
      <c r="BV55" s="37">
        <v>1</v>
      </c>
      <c r="BW55" s="37"/>
      <c r="BX55" s="37"/>
      <c r="BZ55" s="34"/>
      <c r="CA55" s="34"/>
      <c r="CB55" s="37">
        <v>2</v>
      </c>
      <c r="CC55" s="37">
        <v>0</v>
      </c>
      <c r="CD55" s="37"/>
      <c r="CE55" s="37"/>
    </row>
    <row r="56" spans="1:83">
      <c r="A56" s="10"/>
      <c r="B56" s="10">
        <v>3</v>
      </c>
      <c r="C56" s="12" t="s">
        <v>70</v>
      </c>
      <c r="D56" s="12" t="s">
        <v>52</v>
      </c>
      <c r="E56" s="10"/>
      <c r="F56" s="10"/>
      <c r="H56" s="10" t="s">
        <v>130</v>
      </c>
      <c r="I56" s="10">
        <v>3</v>
      </c>
      <c r="J56" s="12" t="s">
        <v>124</v>
      </c>
      <c r="K56" s="12" t="s">
        <v>45</v>
      </c>
      <c r="L56" s="12"/>
      <c r="M56" s="12"/>
      <c r="O56" s="10"/>
      <c r="P56" s="10">
        <v>3</v>
      </c>
      <c r="Q56" s="12" t="s">
        <v>71</v>
      </c>
      <c r="R56" s="12" t="s">
        <v>44</v>
      </c>
      <c r="S56" s="12"/>
      <c r="T56" s="12"/>
      <c r="V56" s="10"/>
      <c r="W56" s="10">
        <v>3</v>
      </c>
      <c r="X56" s="12" t="s">
        <v>83</v>
      </c>
      <c r="Y56" s="30" t="s">
        <v>124</v>
      </c>
      <c r="Z56" s="12" t="s">
        <v>46</v>
      </c>
      <c r="AA56" s="12" t="s">
        <v>39</v>
      </c>
      <c r="AC56" s="10"/>
      <c r="AD56" s="10">
        <v>3</v>
      </c>
      <c r="AE56" s="12" t="s">
        <v>195</v>
      </c>
      <c r="AF56" s="12" t="s">
        <v>40</v>
      </c>
      <c r="AG56" s="12"/>
      <c r="AH56" s="12"/>
      <c r="AJ56" s="10"/>
      <c r="AK56" s="10">
        <v>3</v>
      </c>
      <c r="AL56" s="12" t="s">
        <v>111</v>
      </c>
      <c r="AM56" s="12" t="s">
        <v>48</v>
      </c>
      <c r="AN56" s="12"/>
      <c r="AO56" s="12"/>
      <c r="AQ56" s="10"/>
      <c r="AR56" s="10">
        <v>3</v>
      </c>
      <c r="AS56" s="12" t="s">
        <v>144</v>
      </c>
      <c r="AT56" s="12" t="s">
        <v>48</v>
      </c>
      <c r="AU56" s="12"/>
      <c r="AV56" s="12"/>
      <c r="AX56" s="10"/>
      <c r="AY56" s="10">
        <v>3</v>
      </c>
      <c r="AZ56" s="12" t="s">
        <v>156</v>
      </c>
      <c r="BA56" s="12" t="s">
        <v>54</v>
      </c>
      <c r="BB56" s="12"/>
      <c r="BC56" s="12"/>
      <c r="BE56" s="34"/>
      <c r="BF56" s="34">
        <v>3</v>
      </c>
      <c r="BG56" s="37" t="s">
        <v>54</v>
      </c>
      <c r="BH56" s="37" t="s">
        <v>117</v>
      </c>
      <c r="BI56" s="37"/>
      <c r="BJ56" s="37"/>
      <c r="BL56" s="34"/>
      <c r="BM56" s="34">
        <v>3</v>
      </c>
      <c r="BN56" s="37" t="s">
        <v>39</v>
      </c>
      <c r="BO56" s="37" t="s">
        <v>124</v>
      </c>
      <c r="BP56" s="37"/>
      <c r="BQ56" s="37"/>
      <c r="BS56" s="34"/>
      <c r="BT56" s="34">
        <v>3</v>
      </c>
      <c r="BU56" s="37" t="s">
        <v>145</v>
      </c>
      <c r="BV56" s="37" t="s">
        <v>56</v>
      </c>
      <c r="BW56" s="37"/>
      <c r="BX56" s="37"/>
      <c r="BZ56" s="34" t="s">
        <v>312</v>
      </c>
      <c r="CA56" s="34">
        <v>3</v>
      </c>
      <c r="CB56" s="37" t="s">
        <v>111</v>
      </c>
      <c r="CC56" s="37" t="s">
        <v>60</v>
      </c>
      <c r="CD56" s="37"/>
      <c r="CE56" s="37"/>
    </row>
    <row r="57" spans="1:83">
      <c r="A57" s="10"/>
      <c r="B57" s="10"/>
      <c r="C57" s="12">
        <v>2</v>
      </c>
      <c r="D57" s="12">
        <v>0</v>
      </c>
      <c r="E57" s="12"/>
      <c r="F57" s="10"/>
      <c r="H57" s="10"/>
      <c r="I57" s="10"/>
      <c r="J57" s="12">
        <v>1</v>
      </c>
      <c r="K57" s="12">
        <v>0</v>
      </c>
      <c r="L57" s="12"/>
      <c r="M57" s="12"/>
      <c r="O57" s="10"/>
      <c r="P57" s="10"/>
      <c r="Q57" s="12">
        <v>1</v>
      </c>
      <c r="R57" s="12">
        <v>0</v>
      </c>
      <c r="S57" s="12"/>
      <c r="T57" s="12"/>
      <c r="V57" s="10"/>
      <c r="W57" s="10"/>
      <c r="X57" s="12">
        <v>0</v>
      </c>
      <c r="Y57" s="12">
        <v>1</v>
      </c>
      <c r="Z57" s="12">
        <v>0</v>
      </c>
      <c r="AA57" s="12">
        <v>0</v>
      </c>
      <c r="AC57" s="10"/>
      <c r="AD57" s="10"/>
      <c r="AE57" s="12">
        <v>2</v>
      </c>
      <c r="AF57" s="12">
        <v>0</v>
      </c>
      <c r="AG57" s="12"/>
      <c r="AH57" s="12"/>
      <c r="AJ57" s="10"/>
      <c r="AK57" s="10"/>
      <c r="AL57" s="12">
        <v>3</v>
      </c>
      <c r="AM57" s="12">
        <v>0</v>
      </c>
      <c r="AN57" s="12"/>
      <c r="AO57" s="12"/>
      <c r="AQ57" s="10"/>
      <c r="AR57" s="10"/>
      <c r="AS57" s="12">
        <v>3</v>
      </c>
      <c r="AT57" s="12">
        <v>0</v>
      </c>
      <c r="AU57" s="12"/>
      <c r="AV57" s="12"/>
      <c r="AX57" s="10"/>
      <c r="AY57" s="10"/>
      <c r="AZ57" s="12">
        <v>1</v>
      </c>
      <c r="BA57" s="12">
        <v>0</v>
      </c>
      <c r="BB57" s="12"/>
      <c r="BC57" s="12"/>
      <c r="BE57" s="34"/>
      <c r="BF57" s="34"/>
      <c r="BG57" s="37">
        <v>0</v>
      </c>
      <c r="BH57" s="37">
        <v>2</v>
      </c>
      <c r="BI57" s="37"/>
      <c r="BJ57" s="37"/>
      <c r="BL57" s="34"/>
      <c r="BM57" s="34"/>
      <c r="BN57" s="37">
        <v>0</v>
      </c>
      <c r="BO57" s="37">
        <v>1</v>
      </c>
      <c r="BP57" s="37"/>
      <c r="BQ57" s="37"/>
      <c r="BS57" s="34"/>
      <c r="BT57" s="34"/>
      <c r="BU57" s="37">
        <v>1</v>
      </c>
      <c r="BV57" s="37">
        <v>0</v>
      </c>
      <c r="BW57" s="37"/>
      <c r="BX57" s="37"/>
      <c r="BZ57" s="34"/>
      <c r="CA57" s="34"/>
      <c r="CB57" s="37">
        <v>1</v>
      </c>
      <c r="CC57" s="37">
        <v>0</v>
      </c>
      <c r="CD57" s="37"/>
      <c r="CE57" s="37"/>
    </row>
    <row r="58" spans="1:83">
      <c r="A58" s="10"/>
      <c r="B58" s="10">
        <v>4</v>
      </c>
      <c r="C58" s="12" t="s">
        <v>144</v>
      </c>
      <c r="D58" s="12" t="s">
        <v>43</v>
      </c>
      <c r="E58" s="12"/>
      <c r="F58" s="10"/>
      <c r="H58" s="10" t="s">
        <v>160</v>
      </c>
      <c r="I58" s="10">
        <v>4</v>
      </c>
      <c r="J58" s="12" t="s">
        <v>83</v>
      </c>
      <c r="K58" s="12" t="s">
        <v>40</v>
      </c>
      <c r="L58" s="12"/>
      <c r="M58" s="12"/>
      <c r="O58" s="10"/>
      <c r="P58" s="10">
        <v>4</v>
      </c>
      <c r="Q58" s="12" t="s">
        <v>49</v>
      </c>
      <c r="R58" s="12" t="s">
        <v>123</v>
      </c>
      <c r="S58" s="12"/>
      <c r="T58" s="12"/>
      <c r="V58" s="10"/>
      <c r="W58" s="10">
        <v>4</v>
      </c>
      <c r="X58" s="12" t="s">
        <v>52</v>
      </c>
      <c r="Y58" s="12" t="s">
        <v>144</v>
      </c>
      <c r="Z58" s="12"/>
      <c r="AA58" s="12"/>
      <c r="AC58" s="10"/>
      <c r="AD58" s="10">
        <v>4</v>
      </c>
      <c r="AE58" s="12" t="s">
        <v>41</v>
      </c>
      <c r="AF58" s="12" t="s">
        <v>70</v>
      </c>
      <c r="AG58" s="12"/>
      <c r="AH58" s="12"/>
      <c r="AJ58" s="10"/>
      <c r="AK58" s="10">
        <v>4</v>
      </c>
      <c r="AL58" s="12" t="s">
        <v>150</v>
      </c>
      <c r="AM58" s="12" t="s">
        <v>54</v>
      </c>
      <c r="AN58" s="12"/>
      <c r="AO58" s="12"/>
      <c r="AQ58" s="10" t="s">
        <v>276</v>
      </c>
      <c r="AR58" s="10">
        <v>4</v>
      </c>
      <c r="AS58" s="12" t="s">
        <v>117</v>
      </c>
      <c r="AT58" s="12" t="s">
        <v>61</v>
      </c>
      <c r="AU58" s="12"/>
      <c r="AV58" s="12"/>
      <c r="AX58" s="10" t="s">
        <v>312</v>
      </c>
      <c r="AY58" s="10">
        <v>4</v>
      </c>
      <c r="AZ58" s="12" t="s">
        <v>263</v>
      </c>
      <c r="BA58" s="12" t="s">
        <v>44</v>
      </c>
      <c r="BB58" s="12"/>
      <c r="BC58" s="12"/>
      <c r="BE58" s="34"/>
      <c r="BF58" s="34">
        <v>4</v>
      </c>
      <c r="BG58" s="37" t="s">
        <v>123</v>
      </c>
      <c r="BH58" s="37" t="s">
        <v>38</v>
      </c>
      <c r="BI58" s="37"/>
      <c r="BJ58" s="37"/>
      <c r="BL58" s="34"/>
      <c r="BM58" s="34">
        <v>4</v>
      </c>
      <c r="BN58" s="37" t="s">
        <v>141</v>
      </c>
      <c r="BO58" s="37" t="s">
        <v>57</v>
      </c>
      <c r="BP58" s="37"/>
      <c r="BQ58" s="37"/>
      <c r="BS58" s="34"/>
      <c r="BT58" s="34">
        <v>4</v>
      </c>
      <c r="BU58" s="37" t="s">
        <v>38</v>
      </c>
      <c r="BV58" s="37" t="s">
        <v>156</v>
      </c>
      <c r="BW58" s="37"/>
      <c r="BX58" s="37"/>
      <c r="BZ58" s="34"/>
      <c r="CA58" s="34">
        <v>4</v>
      </c>
      <c r="CB58" s="37" t="s">
        <v>54</v>
      </c>
      <c r="CC58" s="37" t="s">
        <v>83</v>
      </c>
      <c r="CD58" s="37"/>
      <c r="CE58" s="37"/>
    </row>
    <row r="59" spans="1:83">
      <c r="A59" s="10"/>
      <c r="B59" s="10"/>
      <c r="C59" s="12">
        <v>2</v>
      </c>
      <c r="D59" s="12">
        <v>0</v>
      </c>
      <c r="E59" s="12"/>
      <c r="F59" s="10"/>
      <c r="H59" s="10"/>
      <c r="I59" s="10"/>
      <c r="J59" s="12">
        <v>3</v>
      </c>
      <c r="K59" s="12">
        <v>0</v>
      </c>
      <c r="L59" s="12"/>
      <c r="M59" s="12"/>
      <c r="O59" s="10"/>
      <c r="P59" s="10"/>
      <c r="Q59" s="12">
        <v>0</v>
      </c>
      <c r="R59" s="12">
        <v>1</v>
      </c>
      <c r="S59" s="12"/>
      <c r="T59" s="12"/>
      <c r="V59" s="10"/>
      <c r="W59" s="10"/>
      <c r="X59" s="12">
        <v>0</v>
      </c>
      <c r="Y59" s="12">
        <v>2</v>
      </c>
      <c r="Z59" s="12"/>
      <c r="AA59" s="12"/>
      <c r="AC59" s="10"/>
      <c r="AD59" s="10"/>
      <c r="AE59" s="12">
        <v>0</v>
      </c>
      <c r="AF59" s="12">
        <v>3</v>
      </c>
      <c r="AG59" s="12"/>
      <c r="AH59" s="12"/>
      <c r="AJ59" s="10"/>
      <c r="AK59" s="10"/>
      <c r="AL59" s="12">
        <v>2</v>
      </c>
      <c r="AM59" s="12">
        <v>0</v>
      </c>
      <c r="AN59" s="12"/>
      <c r="AO59" s="12"/>
      <c r="AQ59" s="10"/>
      <c r="AR59" s="10"/>
      <c r="AS59" s="12">
        <v>1</v>
      </c>
      <c r="AT59" s="12">
        <v>0</v>
      </c>
      <c r="AU59" s="12"/>
      <c r="AV59" s="12"/>
      <c r="AX59" s="10"/>
      <c r="AY59" s="10"/>
      <c r="AZ59" s="12">
        <v>2</v>
      </c>
      <c r="BA59" s="12">
        <v>0</v>
      </c>
      <c r="BB59" s="12"/>
      <c r="BC59" s="12"/>
      <c r="BE59" s="34"/>
      <c r="BF59" s="34"/>
      <c r="BG59" s="37">
        <v>1</v>
      </c>
      <c r="BH59" s="37">
        <v>0</v>
      </c>
      <c r="BI59" s="37"/>
      <c r="BJ59" s="37"/>
      <c r="BL59" s="34"/>
      <c r="BM59" s="34"/>
      <c r="BN59" s="37">
        <v>2</v>
      </c>
      <c r="BO59" s="37">
        <v>0</v>
      </c>
      <c r="BP59" s="37"/>
      <c r="BQ59" s="37"/>
      <c r="BS59" s="34"/>
      <c r="BT59" s="34"/>
      <c r="BU59" s="37">
        <v>0</v>
      </c>
      <c r="BV59" s="37">
        <v>1</v>
      </c>
      <c r="BW59" s="37"/>
      <c r="BX59" s="37"/>
      <c r="BZ59" s="34"/>
      <c r="CA59" s="34"/>
      <c r="CB59" s="37">
        <v>0</v>
      </c>
      <c r="CC59" s="37">
        <v>2</v>
      </c>
      <c r="CD59" s="37"/>
      <c r="CE59" s="37"/>
    </row>
    <row r="60" spans="1:83">
      <c r="A60" s="10" t="s">
        <v>139</v>
      </c>
      <c r="B60" s="10">
        <v>5</v>
      </c>
      <c r="C60" s="12" t="s">
        <v>96</v>
      </c>
      <c r="D60" s="12" t="s">
        <v>46</v>
      </c>
      <c r="E60" s="12"/>
      <c r="F60" s="10"/>
      <c r="H60" s="10" t="s">
        <v>160</v>
      </c>
      <c r="I60" s="10">
        <v>5</v>
      </c>
      <c r="J60" s="12" t="s">
        <v>50</v>
      </c>
      <c r="K60" s="12" t="s">
        <v>70</v>
      </c>
      <c r="L60" s="12"/>
      <c r="M60" s="12"/>
      <c r="O60" s="10" t="s">
        <v>829</v>
      </c>
      <c r="P60" s="10">
        <v>5</v>
      </c>
      <c r="Q60" s="12" t="s">
        <v>70</v>
      </c>
      <c r="R60" s="12" t="s">
        <v>39</v>
      </c>
      <c r="S60" s="12"/>
      <c r="T60" s="12"/>
      <c r="V60" s="10" t="s">
        <v>220</v>
      </c>
      <c r="W60" s="10">
        <v>5</v>
      </c>
      <c r="X60" s="12" t="s">
        <v>82</v>
      </c>
      <c r="Y60" s="12" t="s">
        <v>195</v>
      </c>
      <c r="Z60" s="12"/>
      <c r="AA60" s="12"/>
      <c r="AC60" s="10"/>
      <c r="AD60" s="10">
        <v>5</v>
      </c>
      <c r="AE60" s="12" t="s">
        <v>124</v>
      </c>
      <c r="AF60" s="12" t="s">
        <v>82</v>
      </c>
      <c r="AG60" s="12"/>
      <c r="AH60" s="12"/>
      <c r="AJ60" s="10" t="s">
        <v>87</v>
      </c>
      <c r="AK60" s="10">
        <v>5</v>
      </c>
      <c r="AL60" s="12" t="s">
        <v>51</v>
      </c>
      <c r="AM60" s="12" t="s">
        <v>124</v>
      </c>
      <c r="AN60" s="12"/>
      <c r="AO60" s="12"/>
      <c r="AQ60" s="10" t="s">
        <v>277</v>
      </c>
      <c r="AR60" s="10">
        <v>5</v>
      </c>
      <c r="AS60" s="12" t="s">
        <v>45</v>
      </c>
      <c r="AT60" s="12" t="s">
        <v>150</v>
      </c>
      <c r="AU60" s="12"/>
      <c r="AV60" s="12"/>
      <c r="AX60" s="10" t="s">
        <v>312</v>
      </c>
      <c r="AY60" s="10">
        <v>5</v>
      </c>
      <c r="AZ60" s="12" t="s">
        <v>65</v>
      </c>
      <c r="BA60" s="12" t="s">
        <v>71</v>
      </c>
      <c r="BB60" s="12"/>
      <c r="BC60" s="12"/>
      <c r="BE60" s="34"/>
      <c r="BF60" s="34">
        <v>5</v>
      </c>
      <c r="BG60" s="37" t="s">
        <v>37</v>
      </c>
      <c r="BH60" s="37" t="s">
        <v>96</v>
      </c>
      <c r="BI60" s="37"/>
      <c r="BJ60" s="37"/>
      <c r="BL60" s="34"/>
      <c r="BM60" s="34">
        <v>5</v>
      </c>
      <c r="BN60" s="37" t="s">
        <v>51</v>
      </c>
      <c r="BO60" s="37" t="s">
        <v>117</v>
      </c>
      <c r="BP60" s="37"/>
      <c r="BQ60" s="37"/>
      <c r="BS60" s="34" t="s">
        <v>87</v>
      </c>
      <c r="BT60" s="34">
        <v>5</v>
      </c>
      <c r="BU60" s="37" t="s">
        <v>141</v>
      </c>
      <c r="BV60" s="37" t="s">
        <v>57</v>
      </c>
      <c r="BW60" s="37"/>
      <c r="BX60" s="37"/>
      <c r="BZ60" s="34" t="s">
        <v>139</v>
      </c>
      <c r="CA60" s="34">
        <v>5</v>
      </c>
      <c r="CB60" s="37" t="s">
        <v>46</v>
      </c>
      <c r="CC60" s="37" t="s">
        <v>117</v>
      </c>
      <c r="CD60" s="37"/>
      <c r="CE60" s="37"/>
    </row>
    <row r="61" spans="1:83">
      <c r="A61" s="10"/>
      <c r="B61" s="10"/>
      <c r="C61" s="12">
        <v>1</v>
      </c>
      <c r="D61" s="12">
        <v>-1</v>
      </c>
      <c r="E61" s="12"/>
      <c r="F61" s="10"/>
      <c r="H61" s="10"/>
      <c r="I61" s="10"/>
      <c r="J61" s="12">
        <v>0</v>
      </c>
      <c r="K61" s="12">
        <v>1</v>
      </c>
      <c r="L61" s="12"/>
      <c r="M61" s="12"/>
      <c r="O61" s="10"/>
      <c r="P61" s="10"/>
      <c r="Q61" s="12">
        <v>2</v>
      </c>
      <c r="R61" s="12">
        <v>0</v>
      </c>
      <c r="S61" s="12"/>
      <c r="T61" s="12"/>
      <c r="V61" s="10"/>
      <c r="W61" s="10"/>
      <c r="X61" s="12">
        <v>0</v>
      </c>
      <c r="Y61" s="12">
        <v>2</v>
      </c>
      <c r="Z61" s="12"/>
      <c r="AA61" s="12"/>
      <c r="AC61" s="10"/>
      <c r="AD61" s="10"/>
      <c r="AE61" s="12">
        <v>2</v>
      </c>
      <c r="AF61" s="12">
        <v>0</v>
      </c>
      <c r="AG61" s="12"/>
      <c r="AH61" s="12"/>
      <c r="AJ61" s="10"/>
      <c r="AK61" s="10"/>
      <c r="AL61" s="12">
        <v>0</v>
      </c>
      <c r="AM61" s="12">
        <v>1</v>
      </c>
      <c r="AN61" s="12"/>
      <c r="AO61" s="12"/>
      <c r="AQ61" s="10"/>
      <c r="AR61" s="10"/>
      <c r="AS61" s="12">
        <v>0</v>
      </c>
      <c r="AT61" s="12">
        <v>1</v>
      </c>
      <c r="AU61" s="12"/>
      <c r="AV61" s="12"/>
      <c r="AX61" s="10"/>
      <c r="AY61" s="10"/>
      <c r="AZ61" s="12">
        <v>0</v>
      </c>
      <c r="BA61" s="12">
        <v>1</v>
      </c>
      <c r="BB61" s="12"/>
      <c r="BC61" s="12"/>
      <c r="BE61" s="34"/>
      <c r="BF61" s="34"/>
      <c r="BG61" s="37">
        <v>0</v>
      </c>
      <c r="BH61" s="37">
        <v>1</v>
      </c>
      <c r="BI61" s="37"/>
      <c r="BJ61" s="37"/>
      <c r="BL61" s="34"/>
      <c r="BM61" s="34"/>
      <c r="BN61" s="37">
        <v>0</v>
      </c>
      <c r="BO61" s="37">
        <v>2</v>
      </c>
      <c r="BP61" s="37"/>
      <c r="BQ61" s="37"/>
      <c r="BS61" s="34"/>
      <c r="BT61" s="34"/>
      <c r="BU61" s="37">
        <v>1</v>
      </c>
      <c r="BV61" s="37">
        <v>0</v>
      </c>
      <c r="BW61" s="37"/>
      <c r="BX61" s="37"/>
      <c r="BZ61" s="34"/>
      <c r="CA61" s="34"/>
      <c r="CB61" s="37">
        <v>0</v>
      </c>
      <c r="CC61" s="37">
        <v>0</v>
      </c>
      <c r="CD61" s="37"/>
      <c r="CE61" s="37"/>
    </row>
    <row r="62" spans="1:83">
      <c r="Q62" s="6"/>
      <c r="R62" s="6"/>
      <c r="S62" s="6"/>
      <c r="T62" s="6"/>
      <c r="X62" s="6"/>
      <c r="Y62" s="6"/>
      <c r="Z62" s="6"/>
      <c r="AA62" s="6"/>
      <c r="AE62" s="6"/>
      <c r="AF62" s="6"/>
      <c r="AG62" s="6"/>
      <c r="AH62" s="6"/>
      <c r="AL62" s="6"/>
      <c r="AM62" s="6"/>
      <c r="AN62" s="6"/>
      <c r="AO62" s="6"/>
      <c r="AS62" s="6"/>
      <c r="AT62" s="6"/>
      <c r="AU62" s="6"/>
      <c r="AV62" s="6"/>
      <c r="AZ62" s="6"/>
      <c r="BA62" s="6"/>
      <c r="BB62" s="6"/>
      <c r="BC62" s="6"/>
      <c r="BE62" s="32"/>
      <c r="BF62" s="32"/>
      <c r="BG62" s="33"/>
      <c r="BH62" s="33"/>
      <c r="BI62" s="33"/>
      <c r="BJ62" s="33"/>
      <c r="BL62" s="32"/>
      <c r="BM62" s="32"/>
      <c r="BN62" s="33"/>
      <c r="BO62" s="33"/>
      <c r="BP62" s="33"/>
      <c r="BQ62" s="33"/>
      <c r="BS62" s="32"/>
      <c r="BT62" s="32"/>
      <c r="BU62" s="33"/>
      <c r="BV62" s="33"/>
      <c r="BW62" s="33"/>
      <c r="BX62" s="33"/>
      <c r="BZ62" s="32"/>
      <c r="CA62" s="32"/>
      <c r="CB62" s="33"/>
      <c r="CC62" s="33"/>
      <c r="CD62" s="33"/>
      <c r="CE62" s="33"/>
    </row>
    <row r="63" spans="1:83" ht="21">
      <c r="A63" s="7"/>
      <c r="B63" s="8" t="s">
        <v>73</v>
      </c>
      <c r="C63" s="28" t="s">
        <v>134</v>
      </c>
      <c r="D63" s="9"/>
      <c r="E63" s="7"/>
      <c r="F63" s="7"/>
      <c r="H63" s="7"/>
      <c r="I63" s="8" t="s">
        <v>73</v>
      </c>
      <c r="J63" s="28" t="s">
        <v>165</v>
      </c>
      <c r="K63" s="9"/>
      <c r="L63" s="9"/>
      <c r="M63" s="9"/>
      <c r="O63" s="7"/>
      <c r="P63" s="8" t="s">
        <v>73</v>
      </c>
      <c r="Q63" s="28" t="s">
        <v>181</v>
      </c>
      <c r="R63" s="9"/>
      <c r="S63" s="9"/>
      <c r="T63" s="9"/>
      <c r="V63" s="7"/>
      <c r="W63" s="8" t="s">
        <v>73</v>
      </c>
      <c r="X63" s="28" t="s">
        <v>216</v>
      </c>
      <c r="Y63" s="9"/>
      <c r="Z63" s="9"/>
      <c r="AA63" s="9"/>
      <c r="AC63" s="7"/>
      <c r="AD63" s="8" t="s">
        <v>73</v>
      </c>
      <c r="AE63" s="28" t="s">
        <v>239</v>
      </c>
      <c r="AF63" s="9"/>
      <c r="AG63" s="9"/>
      <c r="AH63" s="9"/>
      <c r="AJ63" s="7"/>
      <c r="AK63" s="8" t="s">
        <v>73</v>
      </c>
      <c r="AL63" s="28" t="s">
        <v>260</v>
      </c>
      <c r="AM63" s="9"/>
      <c r="AN63" s="9"/>
      <c r="AO63" s="9"/>
      <c r="AQ63" s="7"/>
      <c r="AR63" s="8" t="s">
        <v>73</v>
      </c>
      <c r="AS63" s="28" t="s">
        <v>152</v>
      </c>
      <c r="AT63" s="9"/>
      <c r="AU63" s="9"/>
      <c r="AV63" s="9"/>
      <c r="AX63" s="7"/>
      <c r="AY63" s="8" t="s">
        <v>73</v>
      </c>
      <c r="AZ63" s="28" t="s">
        <v>177</v>
      </c>
      <c r="BA63" s="9"/>
      <c r="BB63" s="9"/>
      <c r="BC63" s="9"/>
      <c r="BE63" s="38"/>
      <c r="BF63" s="39" t="s">
        <v>189</v>
      </c>
      <c r="BG63" s="40" t="s">
        <v>814</v>
      </c>
      <c r="BH63" s="41"/>
      <c r="BI63" s="41"/>
      <c r="BJ63" s="41"/>
      <c r="BL63" s="38"/>
      <c r="BM63" s="39" t="s">
        <v>189</v>
      </c>
      <c r="BN63" s="40" t="s">
        <v>217</v>
      </c>
      <c r="BO63" s="41"/>
      <c r="BP63" s="41"/>
      <c r="BQ63" s="41"/>
      <c r="BS63" s="38"/>
      <c r="BT63" s="39" t="s">
        <v>189</v>
      </c>
      <c r="BU63" s="40" t="s">
        <v>232</v>
      </c>
      <c r="BV63" s="41"/>
      <c r="BW63" s="41"/>
      <c r="BX63" s="41"/>
      <c r="BZ63" s="38"/>
      <c r="CA63" s="39" t="s">
        <v>189</v>
      </c>
      <c r="CB63" s="40" t="s">
        <v>348</v>
      </c>
      <c r="CC63" s="41"/>
      <c r="CD63" s="41"/>
      <c r="CE63" s="41"/>
    </row>
    <row r="64" spans="1:83">
      <c r="A64" s="7"/>
      <c r="B64" s="7">
        <v>1</v>
      </c>
      <c r="C64" s="9" t="s">
        <v>67</v>
      </c>
      <c r="D64" s="9" t="s">
        <v>110</v>
      </c>
      <c r="E64" s="9"/>
      <c r="F64" s="7"/>
      <c r="H64" s="7"/>
      <c r="I64" s="7">
        <v>1</v>
      </c>
      <c r="J64" s="9" t="s">
        <v>72</v>
      </c>
      <c r="K64" s="9" t="s">
        <v>63</v>
      </c>
      <c r="L64" s="9"/>
      <c r="M64" s="9"/>
      <c r="O64" s="7"/>
      <c r="P64" s="7">
        <v>1</v>
      </c>
      <c r="Q64" s="9" t="s">
        <v>169</v>
      </c>
      <c r="R64" s="9" t="s">
        <v>59</v>
      </c>
      <c r="S64" s="9"/>
      <c r="T64" s="9"/>
      <c r="V64" s="7"/>
      <c r="W64" s="7">
        <v>1</v>
      </c>
      <c r="X64" s="9" t="s">
        <v>151</v>
      </c>
      <c r="Y64" s="9" t="s">
        <v>57</v>
      </c>
      <c r="Z64" s="9"/>
      <c r="AA64" s="9"/>
      <c r="AC64" s="7"/>
      <c r="AD64" s="7">
        <v>1</v>
      </c>
      <c r="AE64" s="9" t="s">
        <v>123</v>
      </c>
      <c r="AF64" s="9" t="s">
        <v>59</v>
      </c>
      <c r="AG64" s="9"/>
      <c r="AH64" s="9"/>
      <c r="AJ64" s="7"/>
      <c r="AK64" s="7">
        <v>1</v>
      </c>
      <c r="AL64" s="9" t="s">
        <v>88</v>
      </c>
      <c r="AM64" s="9" t="s">
        <v>58</v>
      </c>
      <c r="AN64" s="9"/>
      <c r="AO64" s="9"/>
      <c r="AQ64" s="7" t="s">
        <v>292</v>
      </c>
      <c r="AR64" s="7">
        <v>1</v>
      </c>
      <c r="AS64" s="55" t="s">
        <v>67</v>
      </c>
      <c r="AT64" s="9" t="s">
        <v>147</v>
      </c>
      <c r="AU64" s="9" t="s">
        <v>83</v>
      </c>
      <c r="AV64" s="9"/>
      <c r="AX64" s="7" t="s">
        <v>136</v>
      </c>
      <c r="AY64" s="7">
        <v>1</v>
      </c>
      <c r="AZ64" s="9" t="s">
        <v>92</v>
      </c>
      <c r="BA64" s="23" t="s">
        <v>145</v>
      </c>
      <c r="BB64" s="9" t="s">
        <v>82</v>
      </c>
      <c r="BC64" s="9" t="s">
        <v>59</v>
      </c>
      <c r="BE64" s="38"/>
      <c r="BF64" s="38">
        <v>1</v>
      </c>
      <c r="BG64" s="41" t="s">
        <v>81</v>
      </c>
      <c r="BH64" s="41" t="s">
        <v>40</v>
      </c>
      <c r="BI64" s="41"/>
      <c r="BJ64" s="41"/>
      <c r="BL64" s="38"/>
      <c r="BM64" s="38">
        <v>1</v>
      </c>
      <c r="BN64" s="41" t="s">
        <v>203</v>
      </c>
      <c r="BO64" s="41" t="s">
        <v>59</v>
      </c>
      <c r="BP64" s="41"/>
      <c r="BQ64" s="41"/>
      <c r="BS64" s="38" t="s">
        <v>343</v>
      </c>
      <c r="BT64" s="38">
        <v>1</v>
      </c>
      <c r="BU64" s="41" t="s">
        <v>166</v>
      </c>
      <c r="BV64" s="41" t="s">
        <v>59</v>
      </c>
      <c r="BW64" s="41"/>
      <c r="BX64" s="41"/>
      <c r="BZ64" s="38"/>
      <c r="CA64" s="38">
        <v>1</v>
      </c>
      <c r="CB64" s="41" t="s">
        <v>41</v>
      </c>
      <c r="CC64" s="41" t="s">
        <v>70</v>
      </c>
      <c r="CD64" s="41"/>
      <c r="CE64" s="41"/>
    </row>
    <row r="65" spans="1:83">
      <c r="A65" s="7"/>
      <c r="B65" s="7"/>
      <c r="C65" s="9">
        <v>0</v>
      </c>
      <c r="D65" s="9">
        <v>2</v>
      </c>
      <c r="E65" s="9"/>
      <c r="F65" s="7"/>
      <c r="H65" s="7"/>
      <c r="I65" s="7"/>
      <c r="J65" s="9">
        <v>2</v>
      </c>
      <c r="K65" s="9">
        <v>0</v>
      </c>
      <c r="L65" s="9"/>
      <c r="M65" s="9"/>
      <c r="O65" s="7"/>
      <c r="P65" s="7"/>
      <c r="Q65" s="9">
        <v>2</v>
      </c>
      <c r="R65" s="9">
        <v>0</v>
      </c>
      <c r="S65" s="9"/>
      <c r="T65" s="9"/>
      <c r="V65" s="7"/>
      <c r="W65" s="7"/>
      <c r="X65" s="9">
        <v>2</v>
      </c>
      <c r="Y65" s="9">
        <v>0</v>
      </c>
      <c r="Z65" s="9"/>
      <c r="AA65" s="9"/>
      <c r="AC65" s="7"/>
      <c r="AD65" s="7"/>
      <c r="AE65" s="9">
        <v>2</v>
      </c>
      <c r="AF65" s="9">
        <v>0</v>
      </c>
      <c r="AG65" s="9"/>
      <c r="AH65" s="9"/>
      <c r="AJ65" s="7"/>
      <c r="AK65" s="7"/>
      <c r="AL65" s="9">
        <v>1</v>
      </c>
      <c r="AM65" s="9">
        <v>0</v>
      </c>
      <c r="AN65" s="9"/>
      <c r="AO65" s="9"/>
      <c r="AQ65" s="7"/>
      <c r="AR65" s="7"/>
      <c r="AS65" s="9">
        <v>0</v>
      </c>
      <c r="AT65" s="9">
        <v>3</v>
      </c>
      <c r="AU65" s="9">
        <v>3</v>
      </c>
      <c r="AV65" s="9"/>
      <c r="AX65" s="7"/>
      <c r="AY65" s="7"/>
      <c r="AZ65" s="9">
        <v>1</v>
      </c>
      <c r="BA65" s="9">
        <v>2</v>
      </c>
      <c r="BB65" s="9">
        <v>0</v>
      </c>
      <c r="BC65" s="9">
        <v>0</v>
      </c>
      <c r="BE65" s="38"/>
      <c r="BF65" s="38"/>
      <c r="BG65" s="41">
        <v>1</v>
      </c>
      <c r="BH65" s="41">
        <v>0</v>
      </c>
      <c r="BI65" s="41"/>
      <c r="BJ65" s="41"/>
      <c r="BL65" s="38"/>
      <c r="BM65" s="38"/>
      <c r="BN65" s="41">
        <v>3</v>
      </c>
      <c r="BO65" s="41">
        <v>0</v>
      </c>
      <c r="BP65" s="41"/>
      <c r="BQ65" s="41"/>
      <c r="BS65" s="38"/>
      <c r="BT65" s="38"/>
      <c r="BU65" s="41">
        <v>3</v>
      </c>
      <c r="BV65" s="41">
        <v>0</v>
      </c>
      <c r="BW65" s="41"/>
      <c r="BX65" s="41"/>
      <c r="BZ65" s="38"/>
      <c r="CA65" s="38"/>
      <c r="CB65" s="41">
        <v>0</v>
      </c>
      <c r="CC65" s="41">
        <v>1</v>
      </c>
      <c r="CD65" s="41"/>
      <c r="CE65" s="41"/>
    </row>
    <row r="66" spans="1:83">
      <c r="A66" s="7"/>
      <c r="B66" s="7">
        <v>2</v>
      </c>
      <c r="C66" s="9" t="s">
        <v>142</v>
      </c>
      <c r="D66" s="9" t="s">
        <v>60</v>
      </c>
      <c r="E66" s="9"/>
      <c r="F66" s="7"/>
      <c r="H66" s="7"/>
      <c r="I66" s="7">
        <v>2</v>
      </c>
      <c r="J66" s="9" t="s">
        <v>57</v>
      </c>
      <c r="K66" s="9" t="s">
        <v>169</v>
      </c>
      <c r="L66" s="9"/>
      <c r="M66" s="9"/>
      <c r="O66" s="7"/>
      <c r="P66" s="7">
        <v>2</v>
      </c>
      <c r="Q66" s="9" t="s">
        <v>60</v>
      </c>
      <c r="R66" s="9" t="s">
        <v>203</v>
      </c>
      <c r="S66" s="9"/>
      <c r="T66" s="9"/>
      <c r="V66" s="7"/>
      <c r="W66" s="7">
        <v>2</v>
      </c>
      <c r="X66" s="9" t="s">
        <v>75</v>
      </c>
      <c r="Y66" s="9" t="s">
        <v>54</v>
      </c>
      <c r="Z66" s="9"/>
      <c r="AA66" s="9"/>
      <c r="AC66" s="7"/>
      <c r="AD66" s="7">
        <v>2</v>
      </c>
      <c r="AE66" s="9" t="s">
        <v>96</v>
      </c>
      <c r="AF66" s="9" t="s">
        <v>54</v>
      </c>
      <c r="AG66" s="9"/>
      <c r="AH66" s="9"/>
      <c r="AJ66" s="7"/>
      <c r="AK66" s="7">
        <v>2</v>
      </c>
      <c r="AL66" s="9" t="s">
        <v>147</v>
      </c>
      <c r="AM66" s="9" t="s">
        <v>62</v>
      </c>
      <c r="AN66" s="9"/>
      <c r="AO66" s="9"/>
      <c r="AQ66" s="7"/>
      <c r="AR66" s="7">
        <v>2</v>
      </c>
      <c r="AS66" s="9" t="s">
        <v>62</v>
      </c>
      <c r="AT66" s="9" t="s">
        <v>142</v>
      </c>
      <c r="AU66" s="9"/>
      <c r="AV66" s="9"/>
      <c r="AX66" s="7" t="s">
        <v>316</v>
      </c>
      <c r="AY66" s="7">
        <v>2</v>
      </c>
      <c r="AZ66" s="9" t="s">
        <v>166</v>
      </c>
      <c r="BA66" s="9" t="s">
        <v>47</v>
      </c>
      <c r="BB66" s="9"/>
      <c r="BC66" s="9"/>
      <c r="BE66" s="38" t="s">
        <v>322</v>
      </c>
      <c r="BF66" s="38">
        <v>2</v>
      </c>
      <c r="BG66" s="41" t="s">
        <v>123</v>
      </c>
      <c r="BH66" s="41" t="s">
        <v>67</v>
      </c>
      <c r="BI66" s="41"/>
      <c r="BJ66" s="41"/>
      <c r="BL66" s="38"/>
      <c r="BM66" s="38">
        <v>2</v>
      </c>
      <c r="BN66" s="41" t="s">
        <v>41</v>
      </c>
      <c r="BO66" s="41" t="s">
        <v>110</v>
      </c>
      <c r="BP66" s="41"/>
      <c r="BQ66" s="41"/>
      <c r="BS66" s="38" t="s">
        <v>342</v>
      </c>
      <c r="BT66" s="38">
        <v>2</v>
      </c>
      <c r="BU66" s="41" t="s">
        <v>145</v>
      </c>
      <c r="BV66" s="41" t="s">
        <v>40</v>
      </c>
      <c r="BW66" s="41"/>
      <c r="BX66" s="41"/>
      <c r="BZ66" s="38"/>
      <c r="CA66" s="38">
        <v>2</v>
      </c>
      <c r="CB66" s="41" t="s">
        <v>59</v>
      </c>
      <c r="CC66" s="41" t="s">
        <v>143</v>
      </c>
      <c r="CD66" s="41"/>
      <c r="CE66" s="41"/>
    </row>
    <row r="67" spans="1:83">
      <c r="A67" s="7"/>
      <c r="B67" s="7"/>
      <c r="C67" s="9">
        <v>2</v>
      </c>
      <c r="D67" s="9">
        <v>0</v>
      </c>
      <c r="E67" s="9"/>
      <c r="F67" s="7"/>
      <c r="H67" s="7"/>
      <c r="I67" s="7"/>
      <c r="J67" s="9">
        <v>0</v>
      </c>
      <c r="K67" s="9">
        <v>1</v>
      </c>
      <c r="L67" s="9"/>
      <c r="M67" s="9"/>
      <c r="O67" s="7"/>
      <c r="P67" s="7"/>
      <c r="Q67" s="9">
        <v>0</v>
      </c>
      <c r="R67" s="9">
        <v>2</v>
      </c>
      <c r="S67" s="9"/>
      <c r="T67" s="9"/>
      <c r="V67" s="7"/>
      <c r="W67" s="7"/>
      <c r="X67" s="9">
        <v>1</v>
      </c>
      <c r="Y67" s="9">
        <v>0</v>
      </c>
      <c r="Z67" s="9"/>
      <c r="AA67" s="9"/>
      <c r="AC67" s="7"/>
      <c r="AD67" s="7"/>
      <c r="AE67" s="9">
        <v>1</v>
      </c>
      <c r="AF67" s="9">
        <v>0</v>
      </c>
      <c r="AG67" s="9"/>
      <c r="AH67" s="9"/>
      <c r="AJ67" s="7"/>
      <c r="AK67" s="7"/>
      <c r="AL67" s="9">
        <v>1</v>
      </c>
      <c r="AM67" s="9">
        <v>0</v>
      </c>
      <c r="AN67" s="9"/>
      <c r="AO67" s="9"/>
      <c r="AQ67" s="7"/>
      <c r="AR67" s="7"/>
      <c r="AS67" s="9">
        <v>0</v>
      </c>
      <c r="AT67" s="9">
        <v>3</v>
      </c>
      <c r="AU67" s="9"/>
      <c r="AV67" s="9"/>
      <c r="AX67" s="7"/>
      <c r="AY67" s="7"/>
      <c r="AZ67" s="9">
        <v>1</v>
      </c>
      <c r="BA67" s="9">
        <v>0</v>
      </c>
      <c r="BB67" s="9"/>
      <c r="BC67" s="9"/>
      <c r="BE67" s="38"/>
      <c r="BF67" s="38"/>
      <c r="BG67" s="41">
        <v>1</v>
      </c>
      <c r="BH67" s="41">
        <v>0</v>
      </c>
      <c r="BI67" s="41"/>
      <c r="BJ67" s="41"/>
      <c r="BL67" s="38"/>
      <c r="BM67" s="38"/>
      <c r="BN67" s="41">
        <v>0</v>
      </c>
      <c r="BO67" s="41">
        <v>2</v>
      </c>
      <c r="BP67" s="41"/>
      <c r="BQ67" s="41"/>
      <c r="BS67" s="38"/>
      <c r="BT67" s="38"/>
      <c r="BU67" s="41">
        <v>3</v>
      </c>
      <c r="BV67" s="41">
        <v>0</v>
      </c>
      <c r="BW67" s="41"/>
      <c r="BX67" s="41"/>
      <c r="BZ67" s="38"/>
      <c r="CA67" s="38"/>
      <c r="CB67" s="41">
        <v>0</v>
      </c>
      <c r="CC67" s="41">
        <v>1</v>
      </c>
      <c r="CD67" s="41"/>
      <c r="CE67" s="41"/>
    </row>
    <row r="68" spans="1:83">
      <c r="A68" s="7"/>
      <c r="B68" s="7">
        <v>3</v>
      </c>
      <c r="C68" s="9" t="s">
        <v>145</v>
      </c>
      <c r="D68" s="9" t="s">
        <v>62</v>
      </c>
      <c r="E68" s="7"/>
      <c r="F68" s="7"/>
      <c r="H68" s="7"/>
      <c r="I68" s="7">
        <v>3</v>
      </c>
      <c r="J68" s="9" t="s">
        <v>141</v>
      </c>
      <c r="K68" s="9" t="s">
        <v>54</v>
      </c>
      <c r="L68" s="9"/>
      <c r="M68" s="9"/>
      <c r="O68" s="7"/>
      <c r="P68" s="7">
        <v>3</v>
      </c>
      <c r="Q68" s="9" t="s">
        <v>118</v>
      </c>
      <c r="R68" s="9" t="s">
        <v>67</v>
      </c>
      <c r="S68" s="9"/>
      <c r="T68" s="9"/>
      <c r="V68" s="7" t="s">
        <v>146</v>
      </c>
      <c r="W68" s="7">
        <v>3</v>
      </c>
      <c r="X68" s="9" t="s">
        <v>67</v>
      </c>
      <c r="Y68" s="9" t="s">
        <v>72</v>
      </c>
      <c r="Z68" s="9"/>
      <c r="AA68" s="9"/>
      <c r="AC68" s="7"/>
      <c r="AD68" s="7">
        <v>3</v>
      </c>
      <c r="AE68" s="9" t="s">
        <v>55</v>
      </c>
      <c r="AF68" s="9" t="s">
        <v>110</v>
      </c>
      <c r="AG68" s="9"/>
      <c r="AH68" s="9"/>
      <c r="AJ68" s="7"/>
      <c r="AK68" s="7">
        <v>3</v>
      </c>
      <c r="AL68" s="9" t="s">
        <v>63</v>
      </c>
      <c r="AM68" s="9" t="s">
        <v>142</v>
      </c>
      <c r="AN68" s="9"/>
      <c r="AO68" s="9"/>
      <c r="AQ68" s="7"/>
      <c r="AR68" s="7">
        <v>3</v>
      </c>
      <c r="AS68" s="9" t="s">
        <v>151</v>
      </c>
      <c r="AT68" s="9" t="s">
        <v>47</v>
      </c>
      <c r="AU68" s="9"/>
      <c r="AV68" s="9"/>
      <c r="AX68" s="7"/>
      <c r="AY68" s="7">
        <v>3</v>
      </c>
      <c r="AZ68" s="9" t="s">
        <v>142</v>
      </c>
      <c r="BA68" s="9" t="s">
        <v>40</v>
      </c>
      <c r="BB68" s="9"/>
      <c r="BC68" s="9"/>
      <c r="BE68" s="38"/>
      <c r="BF68" s="38">
        <v>3</v>
      </c>
      <c r="BG68" s="41" t="s">
        <v>59</v>
      </c>
      <c r="BH68" s="41" t="s">
        <v>92</v>
      </c>
      <c r="BI68" s="41"/>
      <c r="BJ68" s="41"/>
      <c r="BL68" s="38"/>
      <c r="BM68" s="38">
        <v>3</v>
      </c>
      <c r="BN68" s="41" t="s">
        <v>40</v>
      </c>
      <c r="BO68" s="41" t="s">
        <v>75</v>
      </c>
      <c r="BP68" s="41"/>
      <c r="BQ68" s="41"/>
      <c r="BS68" s="38"/>
      <c r="BT68" s="38">
        <v>3</v>
      </c>
      <c r="BU68" s="41" t="s">
        <v>169</v>
      </c>
      <c r="BV68" s="41" t="s">
        <v>67</v>
      </c>
      <c r="BW68" s="41"/>
      <c r="BX68" s="41"/>
      <c r="BZ68" s="38" t="s">
        <v>200</v>
      </c>
      <c r="CA68" s="38">
        <v>3</v>
      </c>
      <c r="CB68" s="41" t="s">
        <v>84</v>
      </c>
      <c r="CC68" s="41" t="s">
        <v>88</v>
      </c>
      <c r="CD68" s="41"/>
      <c r="CE68" s="41"/>
    </row>
    <row r="69" spans="1:83">
      <c r="A69" s="7"/>
      <c r="B69" s="7"/>
      <c r="C69" s="9">
        <v>3</v>
      </c>
      <c r="D69" s="9">
        <v>0</v>
      </c>
      <c r="E69" s="9"/>
      <c r="F69" s="7"/>
      <c r="H69" s="7"/>
      <c r="I69" s="7"/>
      <c r="J69" s="9">
        <v>1</v>
      </c>
      <c r="K69" s="9">
        <v>0</v>
      </c>
      <c r="L69" s="9"/>
      <c r="M69" s="9"/>
      <c r="O69" s="7"/>
      <c r="P69" s="7"/>
      <c r="Q69" s="9">
        <v>1</v>
      </c>
      <c r="R69" s="9">
        <v>0</v>
      </c>
      <c r="S69" s="9"/>
      <c r="T69" s="9"/>
      <c r="V69" s="7" t="s">
        <v>148</v>
      </c>
      <c r="W69" s="7"/>
      <c r="X69" s="9">
        <v>61</v>
      </c>
      <c r="Y69" s="9">
        <v>73</v>
      </c>
      <c r="Z69" s="9"/>
      <c r="AA69" s="9"/>
      <c r="AC69" s="7"/>
      <c r="AD69" s="7"/>
      <c r="AE69" s="9">
        <v>0</v>
      </c>
      <c r="AF69" s="9">
        <v>2</v>
      </c>
      <c r="AG69" s="9"/>
      <c r="AH69" s="9"/>
      <c r="AJ69" s="7"/>
      <c r="AK69" s="7"/>
      <c r="AL69" s="9">
        <v>0</v>
      </c>
      <c r="AM69" s="9">
        <v>2</v>
      </c>
      <c r="AN69" s="9"/>
      <c r="AO69" s="9"/>
      <c r="AQ69" s="7"/>
      <c r="AR69" s="7"/>
      <c r="AS69" s="9">
        <v>1</v>
      </c>
      <c r="AT69" s="9">
        <v>0</v>
      </c>
      <c r="AU69" s="9"/>
      <c r="AV69" s="9"/>
      <c r="AX69" s="7"/>
      <c r="AY69" s="7"/>
      <c r="AZ69" s="9">
        <v>2</v>
      </c>
      <c r="BA69" s="9">
        <v>0</v>
      </c>
      <c r="BB69" s="9"/>
      <c r="BC69" s="9"/>
      <c r="BE69" s="38"/>
      <c r="BF69" s="38"/>
      <c r="BG69" s="41">
        <v>0</v>
      </c>
      <c r="BH69" s="41">
        <v>1</v>
      </c>
      <c r="BI69" s="41"/>
      <c r="BJ69" s="41"/>
      <c r="BL69" s="38"/>
      <c r="BM69" s="38"/>
      <c r="BN69" s="41">
        <v>0</v>
      </c>
      <c r="BO69" s="41">
        <v>1</v>
      </c>
      <c r="BP69" s="41"/>
      <c r="BQ69" s="41"/>
      <c r="BS69" s="38"/>
      <c r="BT69" s="38"/>
      <c r="BU69" s="41">
        <v>2</v>
      </c>
      <c r="BV69" s="41">
        <v>0</v>
      </c>
      <c r="BW69" s="41"/>
      <c r="BX69" s="41"/>
      <c r="BZ69" s="38" t="s">
        <v>353</v>
      </c>
      <c r="CA69" s="38"/>
      <c r="CB69" s="41">
        <v>0</v>
      </c>
      <c r="CC69" s="41">
        <v>1</v>
      </c>
      <c r="CD69" s="41"/>
      <c r="CE69" s="41"/>
    </row>
    <row r="70" spans="1:83">
      <c r="A70" s="7" t="s">
        <v>108</v>
      </c>
      <c r="B70" s="7">
        <v>4</v>
      </c>
      <c r="C70" s="9" t="s">
        <v>59</v>
      </c>
      <c r="D70" s="9" t="s">
        <v>24</v>
      </c>
      <c r="E70" s="9" t="s">
        <v>112</v>
      </c>
      <c r="F70" s="7"/>
      <c r="H70" s="7" t="s">
        <v>888</v>
      </c>
      <c r="I70" s="7">
        <v>4</v>
      </c>
      <c r="J70" s="9" t="s">
        <v>65</v>
      </c>
      <c r="K70" s="9" t="s">
        <v>110</v>
      </c>
      <c r="L70" s="9"/>
      <c r="M70" s="9"/>
      <c r="O70" s="7"/>
      <c r="P70" s="7">
        <v>4</v>
      </c>
      <c r="Q70" s="9" t="s">
        <v>84</v>
      </c>
      <c r="R70" s="9" t="s">
        <v>141</v>
      </c>
      <c r="S70" s="9"/>
      <c r="T70" s="9"/>
      <c r="V70" s="7" t="s">
        <v>220</v>
      </c>
      <c r="W70" s="7">
        <v>4</v>
      </c>
      <c r="X70" s="9" t="s">
        <v>138</v>
      </c>
      <c r="Y70" s="9" t="s">
        <v>84</v>
      </c>
      <c r="Z70" s="9"/>
      <c r="AA70" s="9"/>
      <c r="AC70" s="7" t="s">
        <v>200</v>
      </c>
      <c r="AD70" s="7">
        <v>4</v>
      </c>
      <c r="AE70" s="9" t="s">
        <v>203</v>
      </c>
      <c r="AF70" s="9" t="s">
        <v>57</v>
      </c>
      <c r="AG70" s="9"/>
      <c r="AH70" s="9"/>
      <c r="AJ70" s="7" t="s">
        <v>265</v>
      </c>
      <c r="AK70" s="7">
        <v>4</v>
      </c>
      <c r="AL70" s="9" t="s">
        <v>82</v>
      </c>
      <c r="AM70" s="9" t="s">
        <v>92</v>
      </c>
      <c r="AN70" s="9"/>
      <c r="AO70" s="9"/>
      <c r="AQ70" s="7" t="s">
        <v>276</v>
      </c>
      <c r="AR70" s="7">
        <v>4</v>
      </c>
      <c r="AS70" s="9" t="s">
        <v>55</v>
      </c>
      <c r="AT70" s="9" t="s">
        <v>138</v>
      </c>
      <c r="AU70" s="9"/>
      <c r="AV70" s="9"/>
      <c r="AX70" s="7" t="s">
        <v>317</v>
      </c>
      <c r="AY70" s="7">
        <v>4</v>
      </c>
      <c r="AZ70" s="9" t="s">
        <v>138</v>
      </c>
      <c r="BA70" s="9" t="s">
        <v>55</v>
      </c>
      <c r="BB70" s="9"/>
      <c r="BC70" s="9"/>
      <c r="BE70" s="38"/>
      <c r="BF70" s="38">
        <v>4</v>
      </c>
      <c r="BG70" s="41" t="s">
        <v>58</v>
      </c>
      <c r="BH70" s="41" t="s">
        <v>75</v>
      </c>
      <c r="BI70" s="41"/>
      <c r="BJ70" s="41"/>
      <c r="BL70" s="38"/>
      <c r="BM70" s="38">
        <v>4</v>
      </c>
      <c r="BN70" s="41" t="s">
        <v>84</v>
      </c>
      <c r="BO70" s="41" t="s">
        <v>169</v>
      </c>
      <c r="BP70" s="41"/>
      <c r="BQ70" s="41"/>
      <c r="BS70" s="38"/>
      <c r="BT70" s="38">
        <v>4</v>
      </c>
      <c r="BU70" s="41" t="s">
        <v>92</v>
      </c>
      <c r="BV70" s="41" t="s">
        <v>63</v>
      </c>
      <c r="BW70" s="41"/>
      <c r="BX70" s="41"/>
      <c r="BZ70" s="38" t="s">
        <v>157</v>
      </c>
      <c r="CA70" s="38">
        <v>4</v>
      </c>
      <c r="CB70" s="41" t="s">
        <v>151</v>
      </c>
      <c r="CC70" s="41" t="s">
        <v>58</v>
      </c>
      <c r="CD70" s="41"/>
      <c r="CE70" s="41"/>
    </row>
    <row r="71" spans="1:83">
      <c r="A71" s="7"/>
      <c r="B71" s="7"/>
      <c r="C71" s="9">
        <v>0</v>
      </c>
      <c r="D71" s="9">
        <v>0</v>
      </c>
      <c r="E71" s="9">
        <v>1</v>
      </c>
      <c r="F71" s="7"/>
      <c r="H71" s="7"/>
      <c r="I71" s="7"/>
      <c r="J71" s="9">
        <v>0</v>
      </c>
      <c r="K71" s="9">
        <v>1</v>
      </c>
      <c r="L71" s="9"/>
      <c r="M71" s="9"/>
      <c r="O71" s="7"/>
      <c r="P71" s="7"/>
      <c r="Q71" s="9">
        <v>0</v>
      </c>
      <c r="R71" s="9">
        <v>1</v>
      </c>
      <c r="S71" s="9"/>
      <c r="T71" s="9"/>
      <c r="V71" s="7"/>
      <c r="W71" s="7"/>
      <c r="X71" s="9">
        <v>2</v>
      </c>
      <c r="Y71" s="9">
        <v>0</v>
      </c>
      <c r="Z71" s="9"/>
      <c r="AA71" s="9"/>
      <c r="AC71" s="7" t="s">
        <v>244</v>
      </c>
      <c r="AD71" s="7"/>
      <c r="AE71" s="9">
        <v>1</v>
      </c>
      <c r="AF71" s="9">
        <v>0</v>
      </c>
      <c r="AG71" s="9"/>
      <c r="AH71" s="9"/>
      <c r="AJ71" s="7" t="s">
        <v>266</v>
      </c>
      <c r="AK71" s="7"/>
      <c r="AL71" s="9">
        <v>0</v>
      </c>
      <c r="AM71" s="9">
        <v>1</v>
      </c>
      <c r="AN71" s="9"/>
      <c r="AO71" s="9"/>
      <c r="AQ71" s="7"/>
      <c r="AR71" s="7"/>
      <c r="AS71" s="9">
        <v>0</v>
      </c>
      <c r="AT71" s="9">
        <v>1</v>
      </c>
      <c r="AU71" s="9"/>
      <c r="AV71" s="9"/>
      <c r="AX71" s="7"/>
      <c r="AY71" s="7"/>
      <c r="AZ71" s="9">
        <v>2</v>
      </c>
      <c r="BA71" s="9">
        <v>0</v>
      </c>
      <c r="BB71" s="9"/>
      <c r="BC71" s="9"/>
      <c r="BE71" s="38"/>
      <c r="BF71" s="38"/>
      <c r="BG71" s="41">
        <v>0</v>
      </c>
      <c r="BH71" s="41">
        <v>2</v>
      </c>
      <c r="BI71" s="41"/>
      <c r="BJ71" s="41"/>
      <c r="BL71" s="38"/>
      <c r="BM71" s="38"/>
      <c r="BN71" s="41">
        <v>0</v>
      </c>
      <c r="BO71" s="41">
        <v>1</v>
      </c>
      <c r="BP71" s="41"/>
      <c r="BQ71" s="41"/>
      <c r="BS71" s="38"/>
      <c r="BT71" s="38"/>
      <c r="BU71" s="41">
        <v>1</v>
      </c>
      <c r="BV71" s="41">
        <v>0</v>
      </c>
      <c r="BW71" s="41"/>
      <c r="BX71" s="41"/>
      <c r="BZ71" s="38"/>
      <c r="CA71" s="38"/>
      <c r="CB71" s="41">
        <v>2</v>
      </c>
      <c r="CC71" s="41">
        <v>0</v>
      </c>
      <c r="CD71" s="41"/>
      <c r="CE71" s="41"/>
    </row>
    <row r="72" spans="1:83">
      <c r="A72" s="7" t="s">
        <v>135</v>
      </c>
      <c r="B72" s="7">
        <v>5</v>
      </c>
      <c r="C72" s="9" t="s">
        <v>63</v>
      </c>
      <c r="D72" s="9" t="s">
        <v>117</v>
      </c>
      <c r="E72" s="9"/>
      <c r="F72" s="7"/>
      <c r="H72" s="7" t="s">
        <v>135</v>
      </c>
      <c r="I72" s="7">
        <v>5</v>
      </c>
      <c r="J72" s="9" t="s">
        <v>117</v>
      </c>
      <c r="K72" s="9" t="s">
        <v>84</v>
      </c>
      <c r="L72" s="9"/>
      <c r="M72" s="9"/>
      <c r="O72" s="7" t="s">
        <v>199</v>
      </c>
      <c r="P72" s="7">
        <v>5</v>
      </c>
      <c r="Q72" s="9" t="s">
        <v>117</v>
      </c>
      <c r="R72" s="9" t="s">
        <v>53</v>
      </c>
      <c r="S72" s="9"/>
      <c r="T72" s="9"/>
      <c r="V72" s="7" t="s">
        <v>223</v>
      </c>
      <c r="W72" s="7">
        <v>5</v>
      </c>
      <c r="X72" s="9" t="s">
        <v>110</v>
      </c>
      <c r="Y72" s="9" t="s">
        <v>65</v>
      </c>
      <c r="Z72" s="9"/>
      <c r="AA72" s="9"/>
      <c r="AC72" s="7" t="s">
        <v>245</v>
      </c>
      <c r="AD72" s="7">
        <v>5</v>
      </c>
      <c r="AE72" s="9" t="s">
        <v>151</v>
      </c>
      <c r="AF72" s="9" t="s">
        <v>65</v>
      </c>
      <c r="AG72" s="9"/>
      <c r="AH72" s="9"/>
      <c r="AJ72" s="7"/>
      <c r="AK72" s="7">
        <v>5</v>
      </c>
      <c r="AL72" s="9" t="s">
        <v>53</v>
      </c>
      <c r="AM72" s="9" t="s">
        <v>70</v>
      </c>
      <c r="AN72" s="9"/>
      <c r="AO72" s="9"/>
      <c r="AQ72" s="7" t="s">
        <v>277</v>
      </c>
      <c r="AR72" s="7">
        <v>5</v>
      </c>
      <c r="AS72" s="9" t="s">
        <v>24</v>
      </c>
      <c r="AT72" s="9" t="s">
        <v>110</v>
      </c>
      <c r="AU72" s="9"/>
      <c r="AV72" s="9"/>
      <c r="AX72" s="7" t="s">
        <v>315</v>
      </c>
      <c r="AY72" s="7">
        <v>5</v>
      </c>
      <c r="AZ72" s="9" t="s">
        <v>53</v>
      </c>
      <c r="BA72" s="9" t="s">
        <v>143</v>
      </c>
      <c r="BB72" s="9" t="s">
        <v>50</v>
      </c>
      <c r="BC72" s="9"/>
      <c r="BE72" s="38"/>
      <c r="BF72" s="38">
        <v>5</v>
      </c>
      <c r="BG72" s="41" t="s">
        <v>84</v>
      </c>
      <c r="BH72" s="41" t="s">
        <v>138</v>
      </c>
      <c r="BI72" s="41"/>
      <c r="BJ72" s="41"/>
      <c r="BL72" s="38"/>
      <c r="BM72" s="38">
        <v>5</v>
      </c>
      <c r="BN72" s="41" t="s">
        <v>70</v>
      </c>
      <c r="BO72" s="41" t="s">
        <v>53</v>
      </c>
      <c r="BP72" s="41"/>
      <c r="BQ72" s="41"/>
      <c r="BS72" s="38" t="s">
        <v>889</v>
      </c>
      <c r="BT72" s="38">
        <v>5</v>
      </c>
      <c r="BU72" s="41" t="s">
        <v>53</v>
      </c>
      <c r="BV72" s="41" t="s">
        <v>112</v>
      </c>
      <c r="BW72" s="41"/>
      <c r="BX72" s="41"/>
      <c r="BZ72" s="38" t="s">
        <v>309</v>
      </c>
      <c r="CA72" s="38">
        <v>5</v>
      </c>
      <c r="CB72" s="41" t="s">
        <v>112</v>
      </c>
      <c r="CC72" s="41" t="s">
        <v>82</v>
      </c>
      <c r="CD72" s="41"/>
      <c r="CE72" s="41"/>
    </row>
    <row r="73" spans="1:83">
      <c r="A73" s="7"/>
      <c r="B73" s="7"/>
      <c r="C73" s="9">
        <v>0</v>
      </c>
      <c r="D73" s="9">
        <v>2</v>
      </c>
      <c r="E73" s="9"/>
      <c r="F73" s="7"/>
      <c r="H73" s="7"/>
      <c r="I73" s="7"/>
      <c r="J73" s="9">
        <v>1</v>
      </c>
      <c r="K73" s="9">
        <v>0</v>
      </c>
      <c r="L73" s="9"/>
      <c r="M73" s="9"/>
      <c r="O73" s="7"/>
      <c r="P73" s="7"/>
      <c r="Q73" s="9">
        <v>1</v>
      </c>
      <c r="R73" s="9">
        <v>0</v>
      </c>
      <c r="S73" s="9"/>
      <c r="T73" s="9"/>
      <c r="V73" s="7"/>
      <c r="W73" s="7"/>
      <c r="X73" s="9">
        <v>2</v>
      </c>
      <c r="Y73" s="9">
        <v>0</v>
      </c>
      <c r="Z73" s="9"/>
      <c r="AA73" s="9"/>
      <c r="AC73" s="7" t="s">
        <v>246</v>
      </c>
      <c r="AD73" s="7"/>
      <c r="AE73" s="9">
        <v>1</v>
      </c>
      <c r="AF73" s="9">
        <v>0</v>
      </c>
      <c r="AG73" s="9"/>
      <c r="AH73" s="9"/>
      <c r="AJ73" s="7"/>
      <c r="AK73" s="7"/>
      <c r="AL73" s="9">
        <v>0</v>
      </c>
      <c r="AM73" s="9">
        <v>2</v>
      </c>
      <c r="AN73" s="9"/>
      <c r="AO73" s="9"/>
      <c r="AQ73" s="7"/>
      <c r="AR73" s="7"/>
      <c r="AS73" s="9">
        <v>0</v>
      </c>
      <c r="AT73" s="9">
        <v>3</v>
      </c>
      <c r="AU73" s="9"/>
      <c r="AV73" s="9"/>
      <c r="AX73" s="7" t="s">
        <v>314</v>
      </c>
      <c r="AY73" s="7"/>
      <c r="AZ73" s="9">
        <v>0</v>
      </c>
      <c r="BA73" s="9">
        <v>3</v>
      </c>
      <c r="BB73" s="9">
        <v>0</v>
      </c>
      <c r="BC73" s="9"/>
      <c r="BE73" s="38"/>
      <c r="BF73" s="38"/>
      <c r="BG73" s="41">
        <v>0</v>
      </c>
      <c r="BH73" s="41">
        <v>1</v>
      </c>
      <c r="BI73" s="41"/>
      <c r="BJ73" s="41"/>
      <c r="BL73" s="38"/>
      <c r="BM73" s="38"/>
      <c r="BN73" s="41">
        <v>1</v>
      </c>
      <c r="BO73" s="41">
        <v>0</v>
      </c>
      <c r="BP73" s="41"/>
      <c r="BQ73" s="41"/>
      <c r="BS73" s="38"/>
      <c r="BT73" s="38"/>
      <c r="BU73" s="41">
        <v>0</v>
      </c>
      <c r="BV73" s="41">
        <v>1</v>
      </c>
      <c r="BW73" s="41"/>
      <c r="BX73" s="41"/>
      <c r="BZ73" s="38"/>
      <c r="CA73" s="38"/>
      <c r="CB73" s="41">
        <v>1</v>
      </c>
      <c r="CC73" s="41">
        <v>0</v>
      </c>
      <c r="CD73" s="41"/>
      <c r="CE73" s="41"/>
    </row>
    <row r="74" spans="1:83">
      <c r="Q74" s="6"/>
      <c r="R74" s="6"/>
      <c r="S74" s="6"/>
      <c r="T74" s="6"/>
      <c r="X74" s="6"/>
      <c r="Y74" s="6"/>
      <c r="Z74" s="6"/>
      <c r="AA74" s="6"/>
      <c r="AE74" s="6"/>
      <c r="AF74" s="6"/>
      <c r="AG74" s="6"/>
      <c r="AH74" s="6"/>
      <c r="AL74" s="6"/>
      <c r="AM74" s="6"/>
      <c r="AN74" s="6"/>
      <c r="AO74" s="6"/>
      <c r="AS74" s="6"/>
      <c r="AT74" s="6"/>
      <c r="AU74" s="6"/>
      <c r="AV74" s="6"/>
      <c r="AZ74" s="6"/>
      <c r="BA74" s="6"/>
      <c r="BB74" s="6"/>
      <c r="BC74" s="6"/>
      <c r="BE74" s="32"/>
      <c r="BF74" s="32"/>
      <c r="BG74" s="33"/>
      <c r="BH74" s="33"/>
      <c r="BI74" s="33"/>
      <c r="BJ74" s="33"/>
      <c r="BL74" s="32"/>
      <c r="BM74" s="32"/>
      <c r="BN74" s="33"/>
      <c r="BO74" s="33"/>
      <c r="BP74" s="33"/>
      <c r="BQ74" s="33"/>
      <c r="BS74" s="32"/>
      <c r="BT74" s="32"/>
      <c r="BU74" s="33"/>
      <c r="BV74" s="33"/>
      <c r="BW74" s="33"/>
      <c r="BX74" s="33"/>
      <c r="BZ74" s="32"/>
      <c r="CA74" s="32"/>
      <c r="CB74" s="33"/>
      <c r="CC74" s="33"/>
      <c r="CD74" s="33"/>
      <c r="CE74" s="33"/>
    </row>
    <row r="75" spans="1:83" ht="21">
      <c r="A75" s="18"/>
      <c r="B75" s="20" t="s">
        <v>99</v>
      </c>
      <c r="C75" s="29" t="s">
        <v>100</v>
      </c>
      <c r="D75" s="19"/>
      <c r="E75" s="18"/>
      <c r="F75" s="18"/>
      <c r="H75" s="18"/>
      <c r="I75" s="20" t="s">
        <v>153</v>
      </c>
      <c r="J75" s="29" t="s">
        <v>154</v>
      </c>
      <c r="K75" s="19"/>
      <c r="L75" s="19"/>
      <c r="M75" s="19"/>
      <c r="O75" s="18"/>
      <c r="P75" s="20" t="s">
        <v>182</v>
      </c>
      <c r="Q75" s="29" t="s">
        <v>183</v>
      </c>
      <c r="R75" s="19"/>
      <c r="S75" s="19"/>
      <c r="T75" s="19"/>
      <c r="V75" s="18"/>
      <c r="W75" s="20" t="s">
        <v>218</v>
      </c>
      <c r="X75" s="29" t="s">
        <v>217</v>
      </c>
      <c r="Y75" s="19"/>
      <c r="Z75" s="19"/>
      <c r="AA75" s="19"/>
      <c r="AC75" s="18"/>
      <c r="AD75" s="20" t="s">
        <v>231</v>
      </c>
      <c r="AE75" s="29" t="s">
        <v>232</v>
      </c>
      <c r="AF75" s="19"/>
      <c r="AG75" s="19"/>
      <c r="AH75" s="19"/>
      <c r="AJ75" s="18"/>
      <c r="AK75" s="20" t="s">
        <v>252</v>
      </c>
      <c r="AL75" s="29" t="s">
        <v>119</v>
      </c>
      <c r="AM75" s="19"/>
      <c r="AN75" s="19"/>
      <c r="AO75" s="19"/>
      <c r="AQ75" s="18"/>
      <c r="AR75" s="20" t="s">
        <v>435</v>
      </c>
      <c r="AS75" s="29" t="s">
        <v>74</v>
      </c>
      <c r="AT75" s="19"/>
      <c r="AU75" s="19" t="s">
        <v>303</v>
      </c>
      <c r="AV75" s="19" t="s">
        <v>304</v>
      </c>
      <c r="AX75" s="18"/>
      <c r="AY75" s="20" t="s">
        <v>305</v>
      </c>
      <c r="AZ75" s="29" t="s">
        <v>179</v>
      </c>
      <c r="BA75" s="19"/>
      <c r="BB75" s="19"/>
      <c r="BC75" s="19"/>
      <c r="BE75" s="42"/>
      <c r="BF75" s="43" t="s">
        <v>321</v>
      </c>
      <c r="BG75" s="44" t="s">
        <v>213</v>
      </c>
      <c r="BH75" s="45"/>
      <c r="BI75" s="45"/>
      <c r="BJ75" s="45"/>
      <c r="BL75" s="42"/>
      <c r="BM75" s="43" t="s">
        <v>325</v>
      </c>
      <c r="BN75" s="44" t="s">
        <v>230</v>
      </c>
      <c r="BO75" s="45"/>
      <c r="BP75" s="45"/>
      <c r="BQ75" s="45"/>
      <c r="BS75" s="42"/>
      <c r="BT75" s="43" t="s">
        <v>339</v>
      </c>
      <c r="BU75" s="44" t="s">
        <v>250</v>
      </c>
      <c r="BV75" s="45"/>
      <c r="BW75" s="45"/>
      <c r="BX75" s="45"/>
      <c r="BZ75" s="42"/>
      <c r="CA75" s="43" t="s">
        <v>346</v>
      </c>
      <c r="CB75" s="44" t="s">
        <v>349</v>
      </c>
      <c r="CC75" s="45"/>
      <c r="CD75" s="45"/>
      <c r="CE75" s="45"/>
    </row>
    <row r="76" spans="1:83">
      <c r="A76" s="18" t="s">
        <v>132</v>
      </c>
      <c r="B76" s="18">
        <v>1</v>
      </c>
      <c r="C76" s="19" t="s">
        <v>141</v>
      </c>
      <c r="D76" s="19" t="s">
        <v>65</v>
      </c>
      <c r="E76" s="19"/>
      <c r="F76" s="18"/>
      <c r="H76" s="18" t="s">
        <v>128</v>
      </c>
      <c r="I76" s="18">
        <v>1</v>
      </c>
      <c r="J76" s="19" t="s">
        <v>38</v>
      </c>
      <c r="K76" s="19" t="s">
        <v>156</v>
      </c>
      <c r="L76" s="19"/>
      <c r="M76" s="19"/>
      <c r="O76" s="18" t="s">
        <v>130</v>
      </c>
      <c r="P76" s="18">
        <v>1</v>
      </c>
      <c r="Q76" s="19" t="s">
        <v>195</v>
      </c>
      <c r="R76" s="19" t="s">
        <v>52</v>
      </c>
      <c r="S76" s="19"/>
      <c r="T76" s="19"/>
      <c r="V76" s="18" t="s">
        <v>129</v>
      </c>
      <c r="W76" s="18">
        <v>1</v>
      </c>
      <c r="X76" s="19" t="s">
        <v>75</v>
      </c>
      <c r="Y76" s="19" t="s">
        <v>59</v>
      </c>
      <c r="Z76" s="19"/>
      <c r="AA76" s="19"/>
      <c r="AC76" s="18" t="s">
        <v>131</v>
      </c>
      <c r="AD76" s="18">
        <v>1</v>
      </c>
      <c r="AE76" s="19" t="s">
        <v>141</v>
      </c>
      <c r="AF76" s="25" t="s">
        <v>138</v>
      </c>
      <c r="AG76" s="19" t="s">
        <v>36</v>
      </c>
      <c r="AH76" s="19" t="s">
        <v>54</v>
      </c>
      <c r="AJ76" s="18" t="s">
        <v>132</v>
      </c>
      <c r="AK76" s="18">
        <v>1</v>
      </c>
      <c r="AL76" s="19" t="s">
        <v>151</v>
      </c>
      <c r="AM76" s="19" t="s">
        <v>84</v>
      </c>
      <c r="AN76" s="19"/>
      <c r="AO76" s="19"/>
      <c r="AQ76" s="18" t="s">
        <v>279</v>
      </c>
      <c r="AR76" s="18">
        <v>1</v>
      </c>
      <c r="AS76" s="19" t="s">
        <v>855</v>
      </c>
      <c r="AT76" s="19" t="s">
        <v>263</v>
      </c>
      <c r="AU76" s="19"/>
      <c r="AV76" s="87" t="s">
        <v>243</v>
      </c>
      <c r="AX76" s="18" t="s">
        <v>131</v>
      </c>
      <c r="AY76" s="18">
        <v>1</v>
      </c>
      <c r="AZ76" s="19" t="s">
        <v>141</v>
      </c>
      <c r="BA76" s="25" t="s">
        <v>138</v>
      </c>
      <c r="BB76" s="19" t="s">
        <v>36</v>
      </c>
      <c r="BC76" s="19" t="s">
        <v>54</v>
      </c>
      <c r="BE76" s="42" t="s">
        <v>132</v>
      </c>
      <c r="BF76" s="42">
        <v>1</v>
      </c>
      <c r="BG76" s="45" t="s">
        <v>53</v>
      </c>
      <c r="BH76" s="45" t="s">
        <v>70</v>
      </c>
      <c r="BI76" s="45"/>
      <c r="BJ76" s="45"/>
      <c r="BL76" s="42" t="s">
        <v>128</v>
      </c>
      <c r="BM76" s="42">
        <v>1</v>
      </c>
      <c r="BN76" s="45" t="s">
        <v>38</v>
      </c>
      <c r="BO76" s="45" t="s">
        <v>144</v>
      </c>
      <c r="BP76" s="45"/>
      <c r="BQ76" s="45"/>
      <c r="BS76" s="42" t="s">
        <v>132</v>
      </c>
      <c r="BT76" s="42">
        <v>1</v>
      </c>
      <c r="BU76" s="45" t="s">
        <v>70</v>
      </c>
      <c r="BV76" s="45" t="s">
        <v>84</v>
      </c>
      <c r="BW76" s="45"/>
      <c r="BX76" s="45"/>
      <c r="BZ76" s="42" t="s">
        <v>128</v>
      </c>
      <c r="CA76" s="42">
        <v>1</v>
      </c>
      <c r="CB76" s="45" t="s">
        <v>49</v>
      </c>
      <c r="CC76" s="45" t="s">
        <v>117</v>
      </c>
      <c r="CD76" s="45"/>
      <c r="CE76" s="45"/>
    </row>
    <row r="77" spans="1:83">
      <c r="A77" s="18"/>
      <c r="B77" s="18"/>
      <c r="C77" s="19">
        <v>2</v>
      </c>
      <c r="D77" s="19">
        <v>0</v>
      </c>
      <c r="E77" s="19"/>
      <c r="F77" s="18"/>
      <c r="H77" s="18" t="s">
        <v>170</v>
      </c>
      <c r="I77" s="18"/>
      <c r="J77" s="19">
        <v>-1</v>
      </c>
      <c r="K77" s="19">
        <v>1</v>
      </c>
      <c r="L77" s="19"/>
      <c r="M77" s="19"/>
      <c r="O77" s="18" t="s">
        <v>201</v>
      </c>
      <c r="P77" s="18"/>
      <c r="Q77" s="19">
        <v>1</v>
      </c>
      <c r="R77" s="19">
        <v>0</v>
      </c>
      <c r="S77" s="19"/>
      <c r="T77" s="19"/>
      <c r="V77" s="18" t="s">
        <v>148</v>
      </c>
      <c r="W77" s="18"/>
      <c r="X77" s="19">
        <v>86</v>
      </c>
      <c r="Y77" s="19">
        <v>68</v>
      </c>
      <c r="Z77" s="19"/>
      <c r="AA77" s="19"/>
      <c r="AC77" s="18"/>
      <c r="AD77" s="18"/>
      <c r="AE77" s="19">
        <v>2</v>
      </c>
      <c r="AF77" s="19">
        <v>2</v>
      </c>
      <c r="AG77" s="19">
        <v>0</v>
      </c>
      <c r="AH77" s="19">
        <v>0</v>
      </c>
      <c r="AJ77" s="18"/>
      <c r="AK77" s="18"/>
      <c r="AL77" s="19">
        <v>1</v>
      </c>
      <c r="AM77" s="19">
        <v>0</v>
      </c>
      <c r="AN77" s="19"/>
      <c r="AO77" s="19"/>
      <c r="AQ77" s="18"/>
      <c r="AR77" s="18"/>
      <c r="AS77" s="19">
        <v>0</v>
      </c>
      <c r="AT77" s="19">
        <v>1</v>
      </c>
      <c r="AU77" s="19"/>
      <c r="AV77" s="19"/>
      <c r="AX77" s="18"/>
      <c r="AY77" s="18"/>
      <c r="AZ77" s="19">
        <v>2</v>
      </c>
      <c r="BA77" s="19">
        <v>2</v>
      </c>
      <c r="BB77" s="19">
        <v>0</v>
      </c>
      <c r="BC77" s="19">
        <v>0</v>
      </c>
      <c r="BE77" s="42"/>
      <c r="BF77" s="42"/>
      <c r="BG77" s="45">
        <v>0</v>
      </c>
      <c r="BH77" s="45">
        <v>1</v>
      </c>
      <c r="BI77" s="45"/>
      <c r="BJ77" s="45"/>
      <c r="BL77" s="42" t="s">
        <v>331</v>
      </c>
      <c r="BM77" s="42"/>
      <c r="BN77" s="45">
        <v>0</v>
      </c>
      <c r="BO77" s="45">
        <v>0</v>
      </c>
      <c r="BP77" s="45"/>
      <c r="BQ77" s="45"/>
      <c r="BS77" s="42"/>
      <c r="BT77" s="42"/>
      <c r="BU77" s="45">
        <v>1</v>
      </c>
      <c r="BV77" s="45">
        <v>0</v>
      </c>
      <c r="BW77" s="45"/>
      <c r="BX77" s="45"/>
      <c r="BZ77" s="42" t="s">
        <v>355</v>
      </c>
      <c r="CA77" s="42"/>
      <c r="CB77" s="45">
        <v>-1</v>
      </c>
      <c r="CC77" s="45">
        <v>1</v>
      </c>
      <c r="CD77" s="45"/>
      <c r="CE77" s="45"/>
    </row>
    <row r="78" spans="1:83">
      <c r="A78" s="18" t="s">
        <v>131</v>
      </c>
      <c r="B78" s="18">
        <v>2</v>
      </c>
      <c r="C78" s="19" t="s">
        <v>83</v>
      </c>
      <c r="D78" s="25" t="s">
        <v>147</v>
      </c>
      <c r="E78" s="19" t="s">
        <v>67</v>
      </c>
      <c r="F78" s="19" t="s">
        <v>84</v>
      </c>
      <c r="H78" s="18" t="s">
        <v>131</v>
      </c>
      <c r="I78" s="18">
        <v>2</v>
      </c>
      <c r="J78" s="19" t="s">
        <v>83</v>
      </c>
      <c r="K78" s="25" t="s">
        <v>147</v>
      </c>
      <c r="L78" s="19" t="s">
        <v>43</v>
      </c>
      <c r="M78" s="19" t="s">
        <v>52</v>
      </c>
      <c r="O78" s="18" t="s">
        <v>132</v>
      </c>
      <c r="P78" s="18">
        <v>2</v>
      </c>
      <c r="Q78" s="19" t="s">
        <v>118</v>
      </c>
      <c r="R78" s="19" t="s">
        <v>84</v>
      </c>
      <c r="S78" s="19"/>
      <c r="T78" s="19"/>
      <c r="V78" s="18" t="s">
        <v>130</v>
      </c>
      <c r="W78" s="18">
        <v>2</v>
      </c>
      <c r="X78" s="19" t="s">
        <v>195</v>
      </c>
      <c r="Y78" s="19" t="s">
        <v>44</v>
      </c>
      <c r="Z78" s="19"/>
      <c r="AA78" s="19"/>
      <c r="AC78" s="18" t="s">
        <v>128</v>
      </c>
      <c r="AD78" s="18">
        <v>2</v>
      </c>
      <c r="AE78" s="19" t="s">
        <v>82</v>
      </c>
      <c r="AF78" s="19" t="s">
        <v>150</v>
      </c>
      <c r="AG78" s="19" t="s">
        <v>47</v>
      </c>
      <c r="AH78" s="19"/>
      <c r="AJ78" s="18" t="s">
        <v>130</v>
      </c>
      <c r="AK78" s="18">
        <v>2</v>
      </c>
      <c r="AL78" s="19" t="s">
        <v>195</v>
      </c>
      <c r="AM78" s="19" t="s">
        <v>60</v>
      </c>
      <c r="AN78" s="19"/>
      <c r="AO78" s="19"/>
      <c r="AQ78" s="18" t="s">
        <v>280</v>
      </c>
      <c r="AR78" s="18">
        <v>2</v>
      </c>
      <c r="AS78" s="19" t="s">
        <v>124</v>
      </c>
      <c r="AT78" s="19" t="s">
        <v>44</v>
      </c>
      <c r="AU78" s="19"/>
      <c r="AV78" s="19"/>
      <c r="AX78" s="18" t="s">
        <v>130</v>
      </c>
      <c r="AY78" s="18">
        <v>2</v>
      </c>
      <c r="AZ78" s="19" t="s">
        <v>195</v>
      </c>
      <c r="BA78" s="19" t="s">
        <v>60</v>
      </c>
      <c r="BB78" s="19" t="s">
        <v>43</v>
      </c>
      <c r="BC78" s="19"/>
      <c r="BE78" s="42" t="s">
        <v>128</v>
      </c>
      <c r="BF78" s="42">
        <v>2</v>
      </c>
      <c r="BG78" s="45" t="s">
        <v>150</v>
      </c>
      <c r="BH78" s="45" t="s">
        <v>49</v>
      </c>
      <c r="BI78" s="45"/>
      <c r="BJ78" s="45"/>
      <c r="BL78" s="42" t="s">
        <v>132</v>
      </c>
      <c r="BM78" s="42">
        <v>2</v>
      </c>
      <c r="BN78" s="45" t="s">
        <v>70</v>
      </c>
      <c r="BO78" s="45" t="s">
        <v>82</v>
      </c>
      <c r="BP78" s="45"/>
      <c r="BQ78" s="45"/>
      <c r="BS78" s="42" t="s">
        <v>130</v>
      </c>
      <c r="BT78" s="42">
        <v>2</v>
      </c>
      <c r="BU78" s="45" t="s">
        <v>145</v>
      </c>
      <c r="BV78" s="45" t="s">
        <v>45</v>
      </c>
      <c r="BW78" s="45"/>
      <c r="BX78" s="45"/>
      <c r="BZ78" s="42" t="s">
        <v>129</v>
      </c>
      <c r="CA78" s="42">
        <v>2</v>
      </c>
      <c r="CB78" s="45" t="s">
        <v>203</v>
      </c>
      <c r="CC78" s="45" t="s">
        <v>50</v>
      </c>
      <c r="CD78" s="45"/>
      <c r="CE78" s="45"/>
    </row>
    <row r="79" spans="1:83">
      <c r="A79" s="18"/>
      <c r="B79" s="18"/>
      <c r="C79" s="19">
        <v>1</v>
      </c>
      <c r="D79" s="19">
        <v>0</v>
      </c>
      <c r="E79" s="19">
        <v>0</v>
      </c>
      <c r="F79" s="19">
        <v>0</v>
      </c>
      <c r="H79" s="18"/>
      <c r="I79" s="18"/>
      <c r="J79" s="19">
        <v>1</v>
      </c>
      <c r="K79" s="19">
        <v>2</v>
      </c>
      <c r="L79" s="19">
        <v>0</v>
      </c>
      <c r="M79" s="19">
        <v>0</v>
      </c>
      <c r="O79" s="18"/>
      <c r="P79" s="18"/>
      <c r="Q79" s="19">
        <v>1</v>
      </c>
      <c r="R79" s="19">
        <v>0</v>
      </c>
      <c r="S79" s="19"/>
      <c r="T79" s="19"/>
      <c r="V79" s="18"/>
      <c r="W79" s="18"/>
      <c r="X79" s="19">
        <v>2</v>
      </c>
      <c r="Y79" s="19">
        <v>0</v>
      </c>
      <c r="Z79" s="19"/>
      <c r="AA79" s="19"/>
      <c r="AC79" s="18"/>
      <c r="AD79" s="18"/>
      <c r="AE79" s="19">
        <v>-1</v>
      </c>
      <c r="AF79" s="19">
        <v>2</v>
      </c>
      <c r="AG79" s="19">
        <v>-1</v>
      </c>
      <c r="AH79" s="19"/>
      <c r="AJ79" s="18"/>
      <c r="AK79" s="18"/>
      <c r="AL79" s="19">
        <v>1</v>
      </c>
      <c r="AM79" s="19">
        <v>0</v>
      </c>
      <c r="AN79" s="19"/>
      <c r="AO79" s="19"/>
      <c r="AQ79" s="18"/>
      <c r="AR79" s="18"/>
      <c r="AS79" s="19">
        <v>1</v>
      </c>
      <c r="AT79" s="19">
        <v>0</v>
      </c>
      <c r="AU79" s="19"/>
      <c r="AV79" s="19"/>
      <c r="AX79" s="18"/>
      <c r="AY79" s="18"/>
      <c r="AZ79" s="19">
        <v>2</v>
      </c>
      <c r="BA79" s="19">
        <v>0</v>
      </c>
      <c r="BB79" s="19">
        <v>0</v>
      </c>
      <c r="BC79" s="19"/>
      <c r="BE79" s="42"/>
      <c r="BF79" s="42"/>
      <c r="BG79" s="45">
        <v>1</v>
      </c>
      <c r="BH79" s="45">
        <v>-1</v>
      </c>
      <c r="BI79" s="45"/>
      <c r="BJ79" s="45"/>
      <c r="BL79" s="42" t="s">
        <v>332</v>
      </c>
      <c r="BM79" s="42"/>
      <c r="BN79" s="45">
        <v>2</v>
      </c>
      <c r="BO79" s="45">
        <v>0</v>
      </c>
      <c r="BP79" s="45"/>
      <c r="BQ79" s="45"/>
      <c r="BS79" s="42"/>
      <c r="BT79" s="42"/>
      <c r="BU79" s="45">
        <v>2</v>
      </c>
      <c r="BV79" s="45">
        <v>0</v>
      </c>
      <c r="BW79" s="45"/>
      <c r="BX79" s="45"/>
      <c r="BZ79" s="42" t="s">
        <v>890</v>
      </c>
      <c r="CA79" s="42"/>
      <c r="CB79" s="45">
        <v>1</v>
      </c>
      <c r="CC79" s="45">
        <v>0</v>
      </c>
      <c r="CD79" s="45"/>
      <c r="CE79" s="45"/>
    </row>
    <row r="80" spans="1:83">
      <c r="A80" s="18" t="s">
        <v>130</v>
      </c>
      <c r="B80" s="18">
        <v>3</v>
      </c>
      <c r="C80" s="19" t="s">
        <v>124</v>
      </c>
      <c r="D80" s="19" t="s">
        <v>40</v>
      </c>
      <c r="E80" s="18"/>
      <c r="F80" s="18"/>
      <c r="H80" s="18" t="s">
        <v>132</v>
      </c>
      <c r="I80" s="18">
        <v>3</v>
      </c>
      <c r="J80" s="19" t="s">
        <v>61</v>
      </c>
      <c r="K80" s="19" t="s">
        <v>118</v>
      </c>
      <c r="L80" s="19"/>
      <c r="M80" s="19"/>
      <c r="O80" s="18" t="s">
        <v>131</v>
      </c>
      <c r="P80" s="18">
        <v>3</v>
      </c>
      <c r="Q80" s="19" t="s">
        <v>42</v>
      </c>
      <c r="R80" s="25" t="s">
        <v>41</v>
      </c>
      <c r="S80" s="19" t="s">
        <v>138</v>
      </c>
      <c r="T80" s="19" t="s">
        <v>141</v>
      </c>
      <c r="V80" s="18" t="s">
        <v>131</v>
      </c>
      <c r="W80" s="18">
        <v>3</v>
      </c>
      <c r="X80" s="19" t="s">
        <v>141</v>
      </c>
      <c r="Y80" s="25" t="s">
        <v>138</v>
      </c>
      <c r="Z80" s="19" t="s">
        <v>39</v>
      </c>
      <c r="AA80" s="19" t="s">
        <v>46</v>
      </c>
      <c r="AC80" s="18" t="s">
        <v>129</v>
      </c>
      <c r="AD80" s="18">
        <v>3</v>
      </c>
      <c r="AE80" s="19" t="s">
        <v>75</v>
      </c>
      <c r="AF80" s="19" t="s">
        <v>62</v>
      </c>
      <c r="AG80" s="19"/>
      <c r="AH80" s="19"/>
      <c r="AJ80" s="18" t="s">
        <v>129</v>
      </c>
      <c r="AK80" s="18">
        <v>3</v>
      </c>
      <c r="AL80" s="19" t="s">
        <v>75</v>
      </c>
      <c r="AM80" s="19" t="s">
        <v>36</v>
      </c>
      <c r="AN80" s="19"/>
      <c r="AO80" s="19"/>
      <c r="AQ80" s="18" t="s">
        <v>281</v>
      </c>
      <c r="AR80" s="18">
        <v>3</v>
      </c>
      <c r="AS80" s="19" t="s">
        <v>150</v>
      </c>
      <c r="AT80" s="19" t="s">
        <v>52</v>
      </c>
      <c r="AU80" s="19"/>
      <c r="AV80" s="19"/>
      <c r="AX80" s="18" t="s">
        <v>129</v>
      </c>
      <c r="AY80" s="18">
        <v>3</v>
      </c>
      <c r="AZ80" s="19" t="s">
        <v>75</v>
      </c>
      <c r="BA80" s="19" t="s">
        <v>67</v>
      </c>
      <c r="BB80" s="19" t="s">
        <v>50</v>
      </c>
      <c r="BC80" s="19"/>
      <c r="BE80" s="42" t="s">
        <v>129</v>
      </c>
      <c r="BF80" s="42">
        <v>3</v>
      </c>
      <c r="BG80" s="45" t="s">
        <v>75</v>
      </c>
      <c r="BH80" s="45" t="s">
        <v>62</v>
      </c>
      <c r="BI80" s="45"/>
      <c r="BJ80" s="45"/>
      <c r="BL80" s="42" t="s">
        <v>130</v>
      </c>
      <c r="BM80" s="42">
        <v>3</v>
      </c>
      <c r="BN80" s="45" t="s">
        <v>45</v>
      </c>
      <c r="BO80" s="45" t="s">
        <v>145</v>
      </c>
      <c r="BP80" s="45"/>
      <c r="BQ80" s="45"/>
      <c r="BS80" s="42" t="s">
        <v>129</v>
      </c>
      <c r="BT80" s="42">
        <v>3</v>
      </c>
      <c r="BU80" s="45" t="s">
        <v>24</v>
      </c>
      <c r="BV80" s="45" t="s">
        <v>203</v>
      </c>
      <c r="BW80" s="45"/>
      <c r="BX80" s="45"/>
      <c r="BZ80" s="42" t="s">
        <v>130</v>
      </c>
      <c r="CA80" s="42">
        <v>3</v>
      </c>
      <c r="CB80" s="45" t="s">
        <v>54</v>
      </c>
      <c r="CC80" s="45" t="s">
        <v>156</v>
      </c>
      <c r="CD80" s="45" t="s">
        <v>65</v>
      </c>
      <c r="CE80" s="45"/>
    </row>
    <row r="81" spans="1:83">
      <c r="A81" s="18"/>
      <c r="B81" s="18"/>
      <c r="C81" s="19">
        <v>1</v>
      </c>
      <c r="D81" s="19">
        <v>0</v>
      </c>
      <c r="E81" s="19"/>
      <c r="F81" s="18"/>
      <c r="H81" s="18"/>
      <c r="I81" s="18"/>
      <c r="J81" s="19">
        <v>0</v>
      </c>
      <c r="K81" s="19">
        <v>2</v>
      </c>
      <c r="L81" s="19"/>
      <c r="M81" s="19"/>
      <c r="O81" s="18"/>
      <c r="P81" s="18"/>
      <c r="Q81" s="19">
        <v>0</v>
      </c>
      <c r="R81" s="19">
        <v>0</v>
      </c>
      <c r="S81" s="19">
        <v>2</v>
      </c>
      <c r="T81" s="19">
        <v>2</v>
      </c>
      <c r="V81" s="18"/>
      <c r="W81" s="18"/>
      <c r="X81" s="19">
        <v>2</v>
      </c>
      <c r="Y81" s="19">
        <v>1</v>
      </c>
      <c r="Z81" s="19">
        <v>0</v>
      </c>
      <c r="AA81" s="19">
        <v>0</v>
      </c>
      <c r="AC81" s="18" t="s">
        <v>244</v>
      </c>
      <c r="AD81" s="18"/>
      <c r="AE81" s="19">
        <v>2</v>
      </c>
      <c r="AF81" s="19">
        <v>0</v>
      </c>
      <c r="AG81" s="19"/>
      <c r="AH81" s="19"/>
      <c r="AJ81" s="18" t="s">
        <v>268</v>
      </c>
      <c r="AK81" s="18"/>
      <c r="AL81" s="19">
        <v>2</v>
      </c>
      <c r="AM81" s="19">
        <v>0</v>
      </c>
      <c r="AN81" s="19"/>
      <c r="AO81" s="19"/>
      <c r="AQ81" s="18"/>
      <c r="AR81" s="18"/>
      <c r="AS81" s="19">
        <v>1</v>
      </c>
      <c r="AT81" s="19">
        <v>0</v>
      </c>
      <c r="AU81" s="19"/>
      <c r="AV81" s="19"/>
      <c r="AX81" s="18" t="s">
        <v>314</v>
      </c>
      <c r="AY81" s="18"/>
      <c r="AZ81" s="19">
        <v>1</v>
      </c>
      <c r="BA81" s="19">
        <v>0</v>
      </c>
      <c r="BB81" s="19">
        <v>0</v>
      </c>
      <c r="BC81" s="19"/>
      <c r="BE81" s="42" t="s">
        <v>148</v>
      </c>
      <c r="BF81" s="42"/>
      <c r="BG81" s="45">
        <v>182</v>
      </c>
      <c r="BH81" s="45">
        <v>23</v>
      </c>
      <c r="BI81" s="45"/>
      <c r="BJ81" s="45"/>
      <c r="BL81" s="42" t="s">
        <v>335</v>
      </c>
      <c r="BM81" s="42"/>
      <c r="BN81" s="45">
        <v>0</v>
      </c>
      <c r="BO81" s="45">
        <v>2</v>
      </c>
      <c r="BP81" s="45"/>
      <c r="BQ81" s="45"/>
      <c r="BS81" s="42" t="s">
        <v>887</v>
      </c>
      <c r="BT81" s="42"/>
      <c r="BU81" s="45">
        <v>52</v>
      </c>
      <c r="BV81" s="45">
        <v>55</v>
      </c>
      <c r="BW81" s="45"/>
      <c r="BX81" s="45"/>
      <c r="BZ81" s="42"/>
      <c r="CA81" s="42"/>
      <c r="CB81" s="45">
        <v>0</v>
      </c>
      <c r="CC81" s="45">
        <v>1</v>
      </c>
      <c r="CD81" s="45">
        <v>0</v>
      </c>
      <c r="CE81" s="45"/>
    </row>
    <row r="82" spans="1:83">
      <c r="A82" s="18" t="s">
        <v>129</v>
      </c>
      <c r="B82" s="18">
        <v>4</v>
      </c>
      <c r="C82" s="19" t="s">
        <v>57</v>
      </c>
      <c r="D82" s="19" t="s">
        <v>110</v>
      </c>
      <c r="E82" s="19"/>
      <c r="F82" s="18"/>
      <c r="H82" s="18" t="s">
        <v>130</v>
      </c>
      <c r="I82" s="18">
        <v>4</v>
      </c>
      <c r="J82" s="19" t="s">
        <v>124</v>
      </c>
      <c r="K82" s="19" t="s">
        <v>82</v>
      </c>
      <c r="L82" s="19"/>
      <c r="M82" s="19"/>
      <c r="O82" s="18" t="s">
        <v>129</v>
      </c>
      <c r="P82" s="18">
        <v>4</v>
      </c>
      <c r="Q82" s="19" t="s">
        <v>75</v>
      </c>
      <c r="R82" s="19" t="s">
        <v>54</v>
      </c>
      <c r="S82" s="19"/>
      <c r="T82" s="19"/>
      <c r="V82" s="18" t="s">
        <v>132</v>
      </c>
      <c r="W82" s="18">
        <v>4</v>
      </c>
      <c r="X82" s="19" t="s">
        <v>118</v>
      </c>
      <c r="Y82" s="19" t="s">
        <v>61</v>
      </c>
      <c r="Z82" s="19"/>
      <c r="AA82" s="19"/>
      <c r="AC82" s="18" t="s">
        <v>130</v>
      </c>
      <c r="AD82" s="18">
        <v>4</v>
      </c>
      <c r="AE82" s="19" t="s">
        <v>195</v>
      </c>
      <c r="AF82" s="19" t="s">
        <v>46</v>
      </c>
      <c r="AG82" s="19"/>
      <c r="AH82" s="19"/>
      <c r="AJ82" s="18" t="s">
        <v>128</v>
      </c>
      <c r="AK82" s="18">
        <v>4</v>
      </c>
      <c r="AL82" s="19" t="s">
        <v>150</v>
      </c>
      <c r="AM82" s="19" t="s">
        <v>61</v>
      </c>
      <c r="AN82" s="19"/>
      <c r="AO82" s="19"/>
      <c r="AQ82" s="18" t="s">
        <v>282</v>
      </c>
      <c r="AR82" s="18">
        <v>4</v>
      </c>
      <c r="AS82" s="19" t="s">
        <v>45</v>
      </c>
      <c r="AT82" s="19" t="s">
        <v>145</v>
      </c>
      <c r="AU82" s="19"/>
      <c r="AV82" s="19"/>
      <c r="AX82" s="18" t="s">
        <v>128</v>
      </c>
      <c r="AY82" s="18">
        <v>4</v>
      </c>
      <c r="AZ82" s="19" t="s">
        <v>150</v>
      </c>
      <c r="BA82" s="19" t="s">
        <v>61</v>
      </c>
      <c r="BB82" s="19" t="s">
        <v>49</v>
      </c>
      <c r="BC82" s="19" t="s">
        <v>37</v>
      </c>
      <c r="BE82" s="42" t="s">
        <v>130</v>
      </c>
      <c r="BF82" s="42">
        <v>4</v>
      </c>
      <c r="BG82" s="45" t="s">
        <v>195</v>
      </c>
      <c r="BH82" s="45" t="s">
        <v>43</v>
      </c>
      <c r="BI82" s="45"/>
      <c r="BJ82" s="45"/>
      <c r="BL82" s="42" t="s">
        <v>129</v>
      </c>
      <c r="BM82" s="42">
        <v>4</v>
      </c>
      <c r="BN82" s="45" t="s">
        <v>75</v>
      </c>
      <c r="BO82" s="45" t="s">
        <v>67</v>
      </c>
      <c r="BP82" s="45"/>
      <c r="BQ82" s="45"/>
      <c r="BS82" s="42" t="s">
        <v>128</v>
      </c>
      <c r="BT82" s="42">
        <v>4</v>
      </c>
      <c r="BU82" s="45" t="s">
        <v>144</v>
      </c>
      <c r="BV82" s="45" t="s">
        <v>52</v>
      </c>
      <c r="BW82" s="45"/>
      <c r="BX82" s="45"/>
      <c r="BZ82" s="42" t="s">
        <v>132</v>
      </c>
      <c r="CA82" s="42">
        <v>4</v>
      </c>
      <c r="CB82" s="45" t="s">
        <v>70</v>
      </c>
      <c r="CC82" s="45" t="s">
        <v>53</v>
      </c>
      <c r="CD82" s="45"/>
      <c r="CE82" s="45"/>
    </row>
    <row r="83" spans="1:83">
      <c r="A83" s="18" t="s">
        <v>148</v>
      </c>
      <c r="B83" s="18"/>
      <c r="C83" s="19">
        <v>7</v>
      </c>
      <c r="D83" s="19">
        <v>37</v>
      </c>
      <c r="E83" s="26"/>
      <c r="F83" s="18"/>
      <c r="H83" s="18"/>
      <c r="I83" s="18"/>
      <c r="J83" s="19">
        <v>3</v>
      </c>
      <c r="K83" s="19">
        <v>0</v>
      </c>
      <c r="L83" s="19"/>
      <c r="M83" s="19"/>
      <c r="O83" s="18" t="s">
        <v>148</v>
      </c>
      <c r="P83" s="18"/>
      <c r="Q83" s="19">
        <v>196</v>
      </c>
      <c r="R83" s="19">
        <v>32</v>
      </c>
      <c r="S83" s="19"/>
      <c r="T83" s="19"/>
      <c r="V83" s="18" t="s">
        <v>226</v>
      </c>
      <c r="W83" s="18"/>
      <c r="X83" s="19">
        <v>1</v>
      </c>
      <c r="Y83" s="19">
        <v>0</v>
      </c>
      <c r="Z83" s="19"/>
      <c r="AA83" s="19"/>
      <c r="AC83" s="18" t="s">
        <v>891</v>
      </c>
      <c r="AD83" s="18"/>
      <c r="AE83" s="19">
        <v>1</v>
      </c>
      <c r="AF83" s="19">
        <v>0</v>
      </c>
      <c r="AG83" s="19"/>
      <c r="AH83" s="19"/>
      <c r="AJ83" s="18"/>
      <c r="AK83" s="18"/>
      <c r="AL83" s="19">
        <v>1</v>
      </c>
      <c r="AM83" s="19">
        <v>-1</v>
      </c>
      <c r="AN83" s="19"/>
      <c r="AO83" s="19"/>
      <c r="AQ83" s="18"/>
      <c r="AR83" s="18"/>
      <c r="AS83" s="19">
        <v>0</v>
      </c>
      <c r="AT83" s="19">
        <v>1</v>
      </c>
      <c r="AU83" s="19"/>
      <c r="AV83" s="19"/>
      <c r="AX83" s="18" t="s">
        <v>318</v>
      </c>
      <c r="AY83" s="18"/>
      <c r="AZ83" s="19">
        <v>4</v>
      </c>
      <c r="BA83" s="19">
        <v>0</v>
      </c>
      <c r="BB83" s="19">
        <v>-3</v>
      </c>
      <c r="BC83" s="19">
        <v>-1</v>
      </c>
      <c r="BE83" s="42"/>
      <c r="BF83" s="42"/>
      <c r="BG83" s="45">
        <v>2</v>
      </c>
      <c r="BH83" s="45">
        <v>0</v>
      </c>
      <c r="BI83" s="45"/>
      <c r="BJ83" s="45"/>
      <c r="BL83" s="42" t="s">
        <v>333</v>
      </c>
      <c r="BM83" s="42"/>
      <c r="BN83" s="45">
        <v>2</v>
      </c>
      <c r="BO83" s="45">
        <v>0</v>
      </c>
      <c r="BP83" s="45"/>
      <c r="BQ83" s="45"/>
      <c r="BS83" s="42"/>
      <c r="BT83" s="42"/>
      <c r="BU83" s="45">
        <v>2</v>
      </c>
      <c r="BV83" s="45">
        <v>-2</v>
      </c>
      <c r="BW83" s="45"/>
      <c r="BX83" s="45"/>
      <c r="BZ83" s="42"/>
      <c r="CA83" s="42"/>
      <c r="CB83" s="45">
        <v>2</v>
      </c>
      <c r="CC83" s="45">
        <v>0</v>
      </c>
      <c r="CD83" s="45"/>
      <c r="CE83" s="45"/>
    </row>
    <row r="84" spans="1:83">
      <c r="A84" s="18" t="s">
        <v>128</v>
      </c>
      <c r="B84" s="18">
        <v>5</v>
      </c>
      <c r="C84" s="19" t="s">
        <v>150</v>
      </c>
      <c r="D84" s="19" t="s">
        <v>39</v>
      </c>
      <c r="E84" s="19"/>
      <c r="F84" s="18"/>
      <c r="H84" s="18" t="s">
        <v>129</v>
      </c>
      <c r="I84" s="18">
        <v>5</v>
      </c>
      <c r="J84" s="19" t="s">
        <v>66</v>
      </c>
      <c r="K84" s="19" t="s">
        <v>75</v>
      </c>
      <c r="L84" s="19"/>
      <c r="M84" s="19"/>
      <c r="O84" s="18" t="s">
        <v>128</v>
      </c>
      <c r="P84" s="18">
        <v>5</v>
      </c>
      <c r="Q84" s="19" t="s">
        <v>51</v>
      </c>
      <c r="R84" s="19" t="s">
        <v>81</v>
      </c>
      <c r="S84" s="19"/>
      <c r="T84" s="19"/>
      <c r="V84" s="18" t="s">
        <v>128</v>
      </c>
      <c r="W84" s="18">
        <v>5</v>
      </c>
      <c r="X84" s="19" t="s">
        <v>81</v>
      </c>
      <c r="Y84" s="19" t="s">
        <v>52</v>
      </c>
      <c r="Z84" s="19"/>
      <c r="AA84" s="19"/>
      <c r="AC84" s="18" t="s">
        <v>132</v>
      </c>
      <c r="AD84" s="18">
        <v>5</v>
      </c>
      <c r="AE84" s="19" t="s">
        <v>55</v>
      </c>
      <c r="AF84" s="19" t="s">
        <v>65</v>
      </c>
      <c r="AG84" s="48" t="s">
        <v>151</v>
      </c>
      <c r="AH84" s="19"/>
      <c r="AJ84" s="18" t="s">
        <v>131</v>
      </c>
      <c r="AK84" s="18">
        <v>5</v>
      </c>
      <c r="AL84" s="19" t="s">
        <v>138</v>
      </c>
      <c r="AM84" s="25" t="s">
        <v>141</v>
      </c>
      <c r="AN84" s="19" t="s">
        <v>46</v>
      </c>
      <c r="AO84" s="19" t="s">
        <v>39</v>
      </c>
      <c r="AQ84" s="18" t="s">
        <v>283</v>
      </c>
      <c r="AR84" s="18">
        <v>5</v>
      </c>
      <c r="AS84" s="19" t="s">
        <v>117</v>
      </c>
      <c r="AT84" s="19" t="s">
        <v>43</v>
      </c>
      <c r="AU84" s="19"/>
      <c r="AV84" s="19"/>
      <c r="AX84" s="18" t="s">
        <v>132</v>
      </c>
      <c r="AY84" s="18">
        <v>5</v>
      </c>
      <c r="AZ84" s="19" t="s">
        <v>151</v>
      </c>
      <c r="BA84" s="19" t="s">
        <v>47</v>
      </c>
      <c r="BB84" s="19" t="s">
        <v>58</v>
      </c>
      <c r="BC84" s="19"/>
      <c r="BE84" s="42" t="s">
        <v>131</v>
      </c>
      <c r="BF84" s="42">
        <v>5</v>
      </c>
      <c r="BG84" s="45" t="s">
        <v>141</v>
      </c>
      <c r="BH84" s="61" t="s">
        <v>138</v>
      </c>
      <c r="BI84" s="45" t="s">
        <v>52</v>
      </c>
      <c r="BJ84" s="45" t="s">
        <v>60</v>
      </c>
      <c r="BL84" s="42" t="s">
        <v>131</v>
      </c>
      <c r="BM84" s="42">
        <v>5</v>
      </c>
      <c r="BN84" s="45" t="s">
        <v>141</v>
      </c>
      <c r="BO84" s="61" t="s">
        <v>138</v>
      </c>
      <c r="BP84" s="45" t="s">
        <v>50</v>
      </c>
      <c r="BQ84" s="45" t="s">
        <v>55</v>
      </c>
      <c r="BS84" s="42" t="s">
        <v>131</v>
      </c>
      <c r="BT84" s="42">
        <v>5</v>
      </c>
      <c r="BU84" s="45" t="s">
        <v>138</v>
      </c>
      <c r="BV84" s="61" t="s">
        <v>141</v>
      </c>
      <c r="BW84" s="45" t="s">
        <v>52</v>
      </c>
      <c r="BX84" s="45" t="s">
        <v>60</v>
      </c>
      <c r="BZ84" s="42" t="s">
        <v>131</v>
      </c>
      <c r="CA84" s="42">
        <v>5</v>
      </c>
      <c r="CB84" s="45" t="s">
        <v>138</v>
      </c>
      <c r="CC84" s="61" t="s">
        <v>141</v>
      </c>
      <c r="CD84" s="45" t="s">
        <v>40</v>
      </c>
      <c r="CE84" s="45" t="s">
        <v>41</v>
      </c>
    </row>
    <row r="85" spans="1:83">
      <c r="A85" s="18"/>
      <c r="B85" s="18"/>
      <c r="C85" s="19">
        <v>1</v>
      </c>
      <c r="D85" s="19">
        <v>-1</v>
      </c>
      <c r="E85" s="19"/>
      <c r="F85" s="18"/>
      <c r="H85" s="18" t="s">
        <v>171</v>
      </c>
      <c r="I85" s="18"/>
      <c r="J85" s="19">
        <v>0</v>
      </c>
      <c r="K85" s="19" t="s">
        <v>173</v>
      </c>
      <c r="L85" s="19"/>
      <c r="M85" s="19"/>
      <c r="O85" s="18"/>
      <c r="P85" s="18"/>
      <c r="Q85" s="19">
        <v>-1</v>
      </c>
      <c r="R85" s="19">
        <v>1</v>
      </c>
      <c r="S85" s="19"/>
      <c r="T85" s="19"/>
      <c r="V85" s="18"/>
      <c r="W85" s="18"/>
      <c r="X85" s="19">
        <v>2</v>
      </c>
      <c r="Y85" s="19">
        <v>-2</v>
      </c>
      <c r="Z85" s="19"/>
      <c r="AA85" s="19"/>
      <c r="AC85" s="18" t="s">
        <v>247</v>
      </c>
      <c r="AD85" s="18"/>
      <c r="AE85" s="19">
        <v>0</v>
      </c>
      <c r="AF85" s="19">
        <v>0</v>
      </c>
      <c r="AG85" s="19">
        <v>1</v>
      </c>
      <c r="AH85" s="19"/>
      <c r="AJ85" s="18" t="s">
        <v>269</v>
      </c>
      <c r="AK85" s="18"/>
      <c r="AL85" s="19">
        <v>1</v>
      </c>
      <c r="AM85" s="19">
        <v>0</v>
      </c>
      <c r="AN85" s="19">
        <v>0</v>
      </c>
      <c r="AO85" s="19">
        <v>0</v>
      </c>
      <c r="AQ85" s="18"/>
      <c r="AR85" s="18"/>
      <c r="AS85" s="19">
        <v>1</v>
      </c>
      <c r="AT85" s="19">
        <v>0</v>
      </c>
      <c r="AU85" s="19"/>
      <c r="AV85" s="19"/>
      <c r="AX85" s="18"/>
      <c r="AY85" s="18"/>
      <c r="AZ85" s="19">
        <v>1</v>
      </c>
      <c r="BA85" s="19">
        <v>0</v>
      </c>
      <c r="BB85" s="19">
        <v>0</v>
      </c>
      <c r="BC85" s="19"/>
      <c r="BE85" s="42"/>
      <c r="BF85" s="42"/>
      <c r="BG85" s="45">
        <v>2</v>
      </c>
      <c r="BH85" s="45">
        <v>2</v>
      </c>
      <c r="BI85" s="45">
        <v>0</v>
      </c>
      <c r="BJ85" s="45">
        <v>0</v>
      </c>
      <c r="BL85" s="42" t="s">
        <v>336</v>
      </c>
      <c r="BM85" s="42"/>
      <c r="BN85" s="45">
        <v>3</v>
      </c>
      <c r="BO85" s="45">
        <v>2</v>
      </c>
      <c r="BP85" s="45">
        <v>0</v>
      </c>
      <c r="BQ85" s="45">
        <v>0</v>
      </c>
      <c r="BS85" s="42" t="s">
        <v>345</v>
      </c>
      <c r="BT85" s="42"/>
      <c r="BU85" s="45">
        <v>1</v>
      </c>
      <c r="BV85" s="45">
        <v>2</v>
      </c>
      <c r="BW85" s="45">
        <v>0</v>
      </c>
      <c r="BX85" s="45">
        <v>0</v>
      </c>
      <c r="BZ85" s="42"/>
      <c r="CA85" s="42"/>
      <c r="CB85" s="45">
        <v>2</v>
      </c>
      <c r="CC85" s="45">
        <v>3</v>
      </c>
      <c r="CD85" s="45">
        <v>0</v>
      </c>
      <c r="CE85" s="45">
        <v>0</v>
      </c>
    </row>
    <row r="86" spans="1:83">
      <c r="A86" s="18" t="s">
        <v>127</v>
      </c>
      <c r="B86" s="18">
        <v>6</v>
      </c>
      <c r="C86" s="19" t="s">
        <v>151</v>
      </c>
      <c r="D86" s="19" t="s">
        <v>56</v>
      </c>
      <c r="E86" s="18"/>
      <c r="F86" s="18"/>
      <c r="H86" s="18" t="s">
        <v>162</v>
      </c>
      <c r="I86" s="18">
        <v>6</v>
      </c>
      <c r="J86" s="19" t="s">
        <v>58</v>
      </c>
      <c r="K86" s="19" t="s">
        <v>57</v>
      </c>
      <c r="L86" s="19" t="s">
        <v>42</v>
      </c>
      <c r="M86" s="19" t="s">
        <v>70</v>
      </c>
      <c r="O86" s="18" t="s">
        <v>125</v>
      </c>
      <c r="P86" s="18">
        <v>6</v>
      </c>
      <c r="Q86" s="19" t="s">
        <v>124</v>
      </c>
      <c r="R86" s="19" t="s">
        <v>42</v>
      </c>
      <c r="S86" s="19"/>
      <c r="T86" s="19"/>
      <c r="V86" s="18" t="s">
        <v>594</v>
      </c>
      <c r="W86" s="18">
        <v>6</v>
      </c>
      <c r="X86" s="19" t="s">
        <v>65</v>
      </c>
      <c r="Y86" s="19" t="s">
        <v>151</v>
      </c>
      <c r="Z86" s="19" t="s">
        <v>55</v>
      </c>
      <c r="AA86" s="19" t="s">
        <v>63</v>
      </c>
      <c r="AC86" s="18" t="s">
        <v>125</v>
      </c>
      <c r="AD86" s="18">
        <v>6</v>
      </c>
      <c r="AE86" s="19" t="s">
        <v>83</v>
      </c>
      <c r="AF86" s="19" t="s">
        <v>37</v>
      </c>
      <c r="AG86" s="19"/>
      <c r="AH86" s="19"/>
      <c r="AJ86" s="18" t="s">
        <v>125</v>
      </c>
      <c r="AK86" s="18">
        <v>6</v>
      </c>
      <c r="AL86" s="19" t="s">
        <v>83</v>
      </c>
      <c r="AM86" s="19" t="s">
        <v>37</v>
      </c>
      <c r="AN86" s="19"/>
      <c r="AO86" s="19"/>
      <c r="AQ86" s="18" t="s">
        <v>284</v>
      </c>
      <c r="AR86" s="18">
        <v>6</v>
      </c>
      <c r="AS86" s="19" t="s">
        <v>141</v>
      </c>
      <c r="AT86" s="19" t="s">
        <v>49</v>
      </c>
      <c r="AU86" s="19"/>
      <c r="AV86" s="19"/>
      <c r="AX86" s="18" t="s">
        <v>125</v>
      </c>
      <c r="AY86" s="18">
        <v>6</v>
      </c>
      <c r="AZ86" s="19" t="s">
        <v>56</v>
      </c>
      <c r="BA86" s="19" t="s">
        <v>83</v>
      </c>
      <c r="BB86" s="19" t="s">
        <v>46</v>
      </c>
      <c r="BC86" s="19"/>
      <c r="BE86" s="42" t="s">
        <v>127</v>
      </c>
      <c r="BF86" s="42">
        <v>6</v>
      </c>
      <c r="BG86" s="45" t="s">
        <v>118</v>
      </c>
      <c r="BH86" s="45" t="s">
        <v>53</v>
      </c>
      <c r="BI86" s="45"/>
      <c r="BJ86" s="45"/>
      <c r="BL86" s="42" t="s">
        <v>125</v>
      </c>
      <c r="BM86" s="42">
        <v>6</v>
      </c>
      <c r="BN86" s="45" t="s">
        <v>51</v>
      </c>
      <c r="BO86" s="45" t="s">
        <v>83</v>
      </c>
      <c r="BP86" s="45"/>
      <c r="BQ86" s="45"/>
      <c r="BS86" s="42" t="s">
        <v>127</v>
      </c>
      <c r="BT86" s="42">
        <v>6</v>
      </c>
      <c r="BU86" s="45" t="s">
        <v>53</v>
      </c>
      <c r="BV86" s="45" t="s">
        <v>118</v>
      </c>
      <c r="BW86" s="45"/>
      <c r="BX86" s="45"/>
      <c r="BZ86" s="42" t="s">
        <v>832</v>
      </c>
      <c r="CA86" s="42">
        <v>6</v>
      </c>
      <c r="CB86" s="45" t="s">
        <v>195</v>
      </c>
      <c r="CC86" s="45" t="s">
        <v>818</v>
      </c>
      <c r="CD86" s="45"/>
      <c r="CE86" s="45"/>
    </row>
    <row r="87" spans="1:83">
      <c r="A87" s="18"/>
      <c r="B87" s="18"/>
      <c r="C87" s="19">
        <v>1</v>
      </c>
      <c r="D87" s="19">
        <v>0</v>
      </c>
      <c r="E87" s="18"/>
      <c r="F87" s="18"/>
      <c r="H87" s="18" t="s">
        <v>174</v>
      </c>
      <c r="I87" s="18"/>
      <c r="J87" s="19">
        <v>0</v>
      </c>
      <c r="K87" s="19">
        <v>0</v>
      </c>
      <c r="L87" s="19">
        <v>0</v>
      </c>
      <c r="M87" s="19">
        <v>1</v>
      </c>
      <c r="O87" s="18" t="s">
        <v>211</v>
      </c>
      <c r="P87" s="18"/>
      <c r="Q87" s="19">
        <v>4</v>
      </c>
      <c r="R87" s="19">
        <v>0</v>
      </c>
      <c r="S87" s="19"/>
      <c r="T87" s="19"/>
      <c r="V87" s="18" t="s">
        <v>227</v>
      </c>
      <c r="W87" s="18"/>
      <c r="X87" s="19">
        <v>0</v>
      </c>
      <c r="Y87" s="19">
        <v>2</v>
      </c>
      <c r="Z87" s="19">
        <v>1</v>
      </c>
      <c r="AA87" s="19">
        <v>1</v>
      </c>
      <c r="AC87" s="18"/>
      <c r="AD87" s="18"/>
      <c r="AE87" s="19">
        <v>3</v>
      </c>
      <c r="AF87" s="19">
        <v>0</v>
      </c>
      <c r="AG87" s="19"/>
      <c r="AH87" s="19"/>
      <c r="AJ87" s="18"/>
      <c r="AK87" s="18"/>
      <c r="AL87" s="19">
        <v>1</v>
      </c>
      <c r="AM87" s="19">
        <v>0</v>
      </c>
      <c r="AN87" s="19"/>
      <c r="AO87" s="19"/>
      <c r="AQ87" s="18"/>
      <c r="AR87" s="18"/>
      <c r="AS87" s="19">
        <v>1</v>
      </c>
      <c r="AT87" s="19">
        <v>0</v>
      </c>
      <c r="AU87" s="19"/>
      <c r="AV87" s="19"/>
      <c r="AX87" s="18" t="s">
        <v>319</v>
      </c>
      <c r="AY87" s="18"/>
      <c r="AZ87" s="19">
        <v>0</v>
      </c>
      <c r="BA87" s="19">
        <v>1</v>
      </c>
      <c r="BB87" s="19">
        <v>0</v>
      </c>
      <c r="BC87" s="19"/>
      <c r="BE87" s="42" t="s">
        <v>323</v>
      </c>
      <c r="BF87" s="42"/>
      <c r="BG87" s="45">
        <v>1</v>
      </c>
      <c r="BH87" s="45">
        <v>0</v>
      </c>
      <c r="BI87" s="45"/>
      <c r="BJ87" s="45"/>
      <c r="BL87" s="42" t="s">
        <v>338</v>
      </c>
      <c r="BM87" s="42"/>
      <c r="BN87" s="45">
        <v>-3</v>
      </c>
      <c r="BO87" s="45">
        <v>3</v>
      </c>
      <c r="BP87" s="45"/>
      <c r="BQ87" s="45"/>
      <c r="BS87" s="42"/>
      <c r="BT87" s="42"/>
      <c r="BU87" s="45">
        <v>0</v>
      </c>
      <c r="BV87" s="45">
        <v>1</v>
      </c>
      <c r="BW87" s="45"/>
      <c r="BX87" s="45"/>
      <c r="BZ87" s="42" t="s">
        <v>352</v>
      </c>
      <c r="CA87" s="42"/>
      <c r="CB87" s="45">
        <v>1</v>
      </c>
      <c r="CC87" s="45">
        <v>0</v>
      </c>
      <c r="CD87" s="45"/>
      <c r="CE87" s="45"/>
    </row>
    <row r="88" spans="1:83">
      <c r="A88" s="18" t="s">
        <v>125</v>
      </c>
      <c r="B88" s="18">
        <v>7</v>
      </c>
      <c r="C88" s="19" t="s">
        <v>124</v>
      </c>
      <c r="D88" s="19" t="s">
        <v>47</v>
      </c>
      <c r="E88" s="19"/>
      <c r="F88" s="18"/>
      <c r="H88" s="18" t="s">
        <v>125</v>
      </c>
      <c r="I88" s="18">
        <v>7</v>
      </c>
      <c r="J88" s="19" t="s">
        <v>124</v>
      </c>
      <c r="K88" s="19" t="s">
        <v>39</v>
      </c>
      <c r="L88" s="19"/>
      <c r="M88" s="19"/>
      <c r="O88" s="18" t="s">
        <v>127</v>
      </c>
      <c r="P88" s="18">
        <v>7</v>
      </c>
      <c r="Q88" s="19" t="s">
        <v>58</v>
      </c>
      <c r="R88" s="19" t="s">
        <v>112</v>
      </c>
      <c r="S88" s="19"/>
      <c r="T88" s="19"/>
      <c r="V88" s="18" t="s">
        <v>595</v>
      </c>
      <c r="W88" s="18">
        <v>7</v>
      </c>
      <c r="X88" s="19" t="s">
        <v>49</v>
      </c>
      <c r="Y88" s="19" t="s">
        <v>38</v>
      </c>
      <c r="Z88" s="19" t="s">
        <v>156</v>
      </c>
      <c r="AA88" s="19" t="s">
        <v>45</v>
      </c>
      <c r="AC88" s="18" t="s">
        <v>127</v>
      </c>
      <c r="AD88" s="18">
        <v>7</v>
      </c>
      <c r="AE88" s="19" t="s">
        <v>112</v>
      </c>
      <c r="AF88" s="19" t="s">
        <v>63</v>
      </c>
      <c r="AG88" s="19"/>
      <c r="AH88" s="19"/>
      <c r="AJ88" s="18" t="s">
        <v>127</v>
      </c>
      <c r="AK88" s="18">
        <v>7</v>
      </c>
      <c r="AL88" s="19" t="s">
        <v>112</v>
      </c>
      <c r="AM88" s="19" t="s">
        <v>53</v>
      </c>
      <c r="AN88" s="19"/>
      <c r="AO88" s="19"/>
      <c r="AQ88" s="18" t="s">
        <v>285</v>
      </c>
      <c r="AR88" s="18">
        <v>7</v>
      </c>
      <c r="AS88" s="19" t="s">
        <v>156</v>
      </c>
      <c r="AT88" s="19" t="s">
        <v>39</v>
      </c>
      <c r="AU88" s="19"/>
      <c r="AV88" s="19"/>
      <c r="AX88" s="18" t="s">
        <v>127</v>
      </c>
      <c r="AY88" s="18">
        <v>7</v>
      </c>
      <c r="AZ88" s="19" t="s">
        <v>53</v>
      </c>
      <c r="BA88" s="19" t="s">
        <v>64</v>
      </c>
      <c r="BB88" s="19" t="s">
        <v>118</v>
      </c>
      <c r="BC88" s="19" t="s">
        <v>63</v>
      </c>
      <c r="BE88" s="42" t="s">
        <v>125</v>
      </c>
      <c r="BF88" s="42">
        <v>7</v>
      </c>
      <c r="BG88" s="45" t="s">
        <v>83</v>
      </c>
      <c r="BH88" s="45" t="s">
        <v>61</v>
      </c>
      <c r="BI88" s="45"/>
      <c r="BJ88" s="45"/>
      <c r="BL88" s="42" t="s">
        <v>127</v>
      </c>
      <c r="BM88" s="42">
        <v>7</v>
      </c>
      <c r="BN88" s="45" t="s">
        <v>55</v>
      </c>
      <c r="BO88" s="45" t="s">
        <v>151</v>
      </c>
      <c r="BP88" s="45" t="s">
        <v>64</v>
      </c>
      <c r="BQ88" s="45"/>
      <c r="BS88" s="42" t="s">
        <v>125</v>
      </c>
      <c r="BT88" s="42">
        <v>7</v>
      </c>
      <c r="BU88" s="45" t="s">
        <v>83</v>
      </c>
      <c r="BV88" s="45" t="s">
        <v>61</v>
      </c>
      <c r="BW88" s="45"/>
      <c r="BX88" s="45"/>
      <c r="BZ88" s="46" t="s">
        <v>833</v>
      </c>
      <c r="CA88" s="42">
        <v>7</v>
      </c>
      <c r="CB88" s="45" t="s">
        <v>817</v>
      </c>
      <c r="CC88" s="45" t="s">
        <v>853</v>
      </c>
      <c r="CD88" s="45"/>
      <c r="CE88" s="45"/>
    </row>
    <row r="89" spans="1:83">
      <c r="A89" s="18" t="s">
        <v>149</v>
      </c>
      <c r="B89" s="18"/>
      <c r="C89" s="19">
        <v>1</v>
      </c>
      <c r="D89" s="19">
        <v>0</v>
      </c>
      <c r="E89" s="18"/>
      <c r="F89" s="18"/>
      <c r="H89" s="24" t="s">
        <v>172</v>
      </c>
      <c r="I89" s="18"/>
      <c r="J89" s="19">
        <v>1</v>
      </c>
      <c r="K89" s="19">
        <v>0</v>
      </c>
      <c r="L89" s="19"/>
      <c r="M89" s="19"/>
      <c r="O89" s="24"/>
      <c r="P89" s="18"/>
      <c r="Q89" s="19">
        <v>0</v>
      </c>
      <c r="R89" s="19">
        <v>1</v>
      </c>
      <c r="S89" s="19"/>
      <c r="T89" s="19"/>
      <c r="V89" s="24" t="s">
        <v>228</v>
      </c>
      <c r="W89" s="18"/>
      <c r="X89" s="19">
        <v>0</v>
      </c>
      <c r="Y89" s="19">
        <v>1</v>
      </c>
      <c r="Z89" s="19">
        <v>2</v>
      </c>
      <c r="AA89" s="19">
        <v>1</v>
      </c>
      <c r="AC89" s="24" t="s">
        <v>248</v>
      </c>
      <c r="AD89" s="18"/>
      <c r="AE89" s="19">
        <v>2</v>
      </c>
      <c r="AF89" s="19">
        <v>0</v>
      </c>
      <c r="AG89" s="19"/>
      <c r="AH89" s="19"/>
      <c r="AJ89" s="24" t="s">
        <v>267</v>
      </c>
      <c r="AK89" s="18"/>
      <c r="AL89" s="19">
        <v>1</v>
      </c>
      <c r="AM89" s="19">
        <v>0</v>
      </c>
      <c r="AN89" s="19"/>
      <c r="AO89" s="19"/>
      <c r="AQ89" s="24"/>
      <c r="AR89" s="18"/>
      <c r="AS89" s="19">
        <v>1</v>
      </c>
      <c r="AT89" s="19">
        <v>0</v>
      </c>
      <c r="AU89" s="19"/>
      <c r="AV89" s="19"/>
      <c r="AX89" s="24" t="s">
        <v>320</v>
      </c>
      <c r="AY89" s="18"/>
      <c r="AZ89" s="19">
        <v>0</v>
      </c>
      <c r="BA89" s="19">
        <v>0</v>
      </c>
      <c r="BB89" s="19">
        <v>1</v>
      </c>
      <c r="BC89" s="19">
        <v>0</v>
      </c>
      <c r="BE89" s="46" t="s">
        <v>324</v>
      </c>
      <c r="BF89" s="42"/>
      <c r="BG89" s="45">
        <v>1</v>
      </c>
      <c r="BH89" s="45">
        <v>0</v>
      </c>
      <c r="BI89" s="45"/>
      <c r="BJ89" s="45"/>
      <c r="BL89" s="46" t="s">
        <v>334</v>
      </c>
      <c r="BM89" s="42"/>
      <c r="BN89" s="45">
        <v>0</v>
      </c>
      <c r="BO89" s="45">
        <v>2</v>
      </c>
      <c r="BP89" s="45">
        <v>0</v>
      </c>
      <c r="BQ89" s="45"/>
      <c r="BS89" s="46" t="s">
        <v>344</v>
      </c>
      <c r="BT89" s="42"/>
      <c r="BU89" s="45">
        <v>2</v>
      </c>
      <c r="BV89" s="45">
        <v>0</v>
      </c>
      <c r="BW89" s="45"/>
      <c r="BX89" s="45"/>
      <c r="BZ89" s="42"/>
      <c r="CA89" s="42"/>
      <c r="CB89" s="45">
        <v>0</v>
      </c>
      <c r="CC89" s="45">
        <v>1</v>
      </c>
      <c r="CD89" s="45"/>
      <c r="CE89" s="45"/>
    </row>
    <row r="90" spans="1:83">
      <c r="A90" s="18" t="s">
        <v>126</v>
      </c>
      <c r="B90" s="18">
        <v>8</v>
      </c>
      <c r="C90" s="19" t="s">
        <v>50</v>
      </c>
      <c r="D90" s="19" t="s">
        <v>36</v>
      </c>
      <c r="E90" s="19" t="s">
        <v>55</v>
      </c>
      <c r="F90" s="19" t="s">
        <v>112</v>
      </c>
      <c r="H90" s="18" t="s">
        <v>127</v>
      </c>
      <c r="I90" s="18">
        <v>8</v>
      </c>
      <c r="J90" s="19" t="s">
        <v>53</v>
      </c>
      <c r="K90" s="19" t="s">
        <v>117</v>
      </c>
      <c r="L90" s="19"/>
      <c r="M90" s="19"/>
      <c r="O90" s="18" t="s">
        <v>196</v>
      </c>
      <c r="P90" s="18">
        <v>8</v>
      </c>
      <c r="Q90" s="19" t="s">
        <v>50</v>
      </c>
      <c r="R90" s="19" t="s">
        <v>66</v>
      </c>
      <c r="S90" s="19" t="s">
        <v>47</v>
      </c>
      <c r="T90" s="19" t="s">
        <v>117</v>
      </c>
      <c r="V90" s="18" t="s">
        <v>127</v>
      </c>
      <c r="W90" s="18">
        <v>8</v>
      </c>
      <c r="X90" s="19" t="s">
        <v>112</v>
      </c>
      <c r="Y90" s="19" t="s">
        <v>66</v>
      </c>
      <c r="Z90" s="19"/>
      <c r="AA90" s="19"/>
      <c r="AC90" s="18" t="s">
        <v>127</v>
      </c>
      <c r="AD90" s="18">
        <v>8</v>
      </c>
      <c r="AE90" s="19" t="s">
        <v>112</v>
      </c>
      <c r="AF90" s="19" t="s">
        <v>53</v>
      </c>
      <c r="AG90" s="19"/>
      <c r="AH90" s="19"/>
      <c r="AL90" s="6"/>
      <c r="AM90" s="6"/>
      <c r="AN90" s="6"/>
      <c r="AO90" s="6"/>
      <c r="AQ90" s="18" t="s">
        <v>286</v>
      </c>
      <c r="AR90" s="18">
        <v>8</v>
      </c>
      <c r="AS90" s="19" t="s">
        <v>65</v>
      </c>
      <c r="AT90" s="19" t="s">
        <v>123</v>
      </c>
      <c r="AU90" s="19"/>
      <c r="AV90" s="19"/>
      <c r="AZ90" s="6"/>
      <c r="BA90" s="6"/>
      <c r="BB90" s="6"/>
      <c r="BC90" s="6"/>
      <c r="BE90" s="63" t="s">
        <v>125</v>
      </c>
      <c r="BF90" s="63">
        <v>8</v>
      </c>
      <c r="BG90" s="64" t="s">
        <v>156</v>
      </c>
      <c r="BH90" s="64" t="s">
        <v>42</v>
      </c>
      <c r="BI90" s="64"/>
      <c r="BJ90" s="64"/>
      <c r="BL90" s="42" t="s">
        <v>337</v>
      </c>
      <c r="BM90" s="42"/>
      <c r="BN90" s="45"/>
      <c r="BO90" s="45"/>
      <c r="BP90" s="45"/>
      <c r="BQ90" s="45"/>
      <c r="BS90" s="42"/>
      <c r="BT90" s="42"/>
      <c r="BU90" s="45"/>
      <c r="BV90" s="45"/>
      <c r="BW90" s="45"/>
      <c r="BX90" s="45"/>
      <c r="BZ90" s="42" t="s">
        <v>834</v>
      </c>
      <c r="CA90" s="42">
        <v>8</v>
      </c>
      <c r="CB90" s="45" t="s">
        <v>854</v>
      </c>
      <c r="CC90" s="45" t="s">
        <v>141</v>
      </c>
      <c r="CD90" s="45"/>
      <c r="CE90" s="45"/>
    </row>
    <row r="91" spans="1:83">
      <c r="A91" s="18"/>
      <c r="B91" s="18"/>
      <c r="C91" s="19">
        <v>0</v>
      </c>
      <c r="D91" s="19">
        <v>0</v>
      </c>
      <c r="E91" s="19">
        <v>0</v>
      </c>
      <c r="F91" s="19">
        <v>1</v>
      </c>
      <c r="H91" s="18"/>
      <c r="I91" s="18"/>
      <c r="J91" s="19">
        <v>0</v>
      </c>
      <c r="K91" s="19">
        <v>1</v>
      </c>
      <c r="L91" s="19"/>
      <c r="M91" s="19"/>
      <c r="O91" s="18"/>
      <c r="P91" s="18"/>
      <c r="Q91" s="19">
        <v>0</v>
      </c>
      <c r="R91" s="19">
        <v>0</v>
      </c>
      <c r="S91" s="19">
        <v>0</v>
      </c>
      <c r="T91" s="19">
        <v>1</v>
      </c>
      <c r="V91" s="18"/>
      <c r="W91" s="18"/>
      <c r="X91" s="19">
        <v>2</v>
      </c>
      <c r="Y91" s="19">
        <v>0</v>
      </c>
      <c r="Z91" s="19"/>
      <c r="AA91" s="19"/>
      <c r="AC91" s="18" t="s">
        <v>249</v>
      </c>
      <c r="AD91" s="18"/>
      <c r="AE91" s="19">
        <v>1</v>
      </c>
      <c r="AF91" s="19">
        <v>0</v>
      </c>
      <c r="AG91" s="19"/>
      <c r="AH91" s="19"/>
      <c r="AL91" s="6"/>
      <c r="AM91" s="6"/>
      <c r="AN91" s="6"/>
      <c r="AO91" s="6"/>
      <c r="AQ91" s="58"/>
      <c r="AR91" s="58"/>
      <c r="AS91" s="59">
        <v>0</v>
      </c>
      <c r="AT91" s="59">
        <v>1</v>
      </c>
      <c r="AU91" s="59"/>
      <c r="AV91" s="59"/>
      <c r="AZ91" s="6"/>
      <c r="BA91" s="6"/>
      <c r="BB91" s="6"/>
      <c r="BC91" s="6"/>
      <c r="BE91" s="18" t="s">
        <v>828</v>
      </c>
      <c r="BF91" s="18"/>
      <c r="BG91" s="19">
        <v>1</v>
      </c>
      <c r="BH91" s="19">
        <v>0</v>
      </c>
      <c r="BI91" s="18"/>
      <c r="BJ91" s="18"/>
      <c r="BL91" s="42"/>
      <c r="BM91" s="42"/>
      <c r="BN91" s="45"/>
      <c r="BO91" s="45"/>
      <c r="BP91" s="45"/>
      <c r="BQ91" s="45"/>
      <c r="BS91" s="42"/>
      <c r="BT91" s="42"/>
      <c r="BU91" s="45"/>
      <c r="BV91" s="45"/>
      <c r="BW91" s="45"/>
      <c r="BX91" s="45"/>
      <c r="BZ91" s="42"/>
      <c r="CA91" s="42"/>
      <c r="CB91" s="45">
        <v>0</v>
      </c>
      <c r="CC91" s="45">
        <v>1</v>
      </c>
      <c r="CD91" s="45"/>
      <c r="CE91" s="45"/>
    </row>
    <row r="92" spans="1:83">
      <c r="H92" s="18" t="s">
        <v>127</v>
      </c>
      <c r="I92" s="18">
        <v>9</v>
      </c>
      <c r="J92" s="19" t="s">
        <v>56</v>
      </c>
      <c r="K92" s="19" t="s">
        <v>169</v>
      </c>
      <c r="L92" s="19"/>
      <c r="M92" s="19"/>
      <c r="O92" s="18"/>
      <c r="P92" s="18"/>
      <c r="Q92" s="19"/>
      <c r="R92" s="19"/>
      <c r="S92" s="19"/>
      <c r="T92" s="19"/>
      <c r="V92" s="18" t="s">
        <v>125</v>
      </c>
      <c r="W92" s="18">
        <v>9</v>
      </c>
      <c r="X92" s="19" t="s">
        <v>37</v>
      </c>
      <c r="Y92" s="19" t="s">
        <v>83</v>
      </c>
      <c r="Z92" s="19"/>
      <c r="AA92" s="19"/>
      <c r="AQ92" s="18" t="s">
        <v>294</v>
      </c>
      <c r="AR92" s="18">
        <v>9</v>
      </c>
      <c r="AS92" s="19" t="s">
        <v>60</v>
      </c>
      <c r="AT92" s="19" t="s">
        <v>123</v>
      </c>
      <c r="AU92" s="18"/>
      <c r="AV92" s="18"/>
      <c r="BZ92" s="42" t="s">
        <v>835</v>
      </c>
      <c r="CA92" s="42">
        <v>10</v>
      </c>
      <c r="CB92" s="45" t="s">
        <v>816</v>
      </c>
      <c r="CC92" s="45" t="s">
        <v>124</v>
      </c>
      <c r="CD92" s="45"/>
      <c r="CE92" s="45"/>
    </row>
    <row r="93" spans="1:83">
      <c r="H93" s="18" t="s">
        <v>175</v>
      </c>
      <c r="I93" s="18"/>
      <c r="J93" s="19">
        <v>0</v>
      </c>
      <c r="K93" s="19">
        <v>1</v>
      </c>
      <c r="L93" s="19"/>
      <c r="M93" s="19"/>
      <c r="O93" s="18"/>
      <c r="P93" s="18"/>
      <c r="Q93" s="19"/>
      <c r="R93" s="18"/>
      <c r="S93" s="18"/>
      <c r="T93" s="18"/>
      <c r="V93" s="18" t="s">
        <v>229</v>
      </c>
      <c r="W93" s="18"/>
      <c r="X93" s="19">
        <v>0</v>
      </c>
      <c r="Y93" s="19">
        <v>2</v>
      </c>
      <c r="Z93" s="19"/>
      <c r="AA93" s="19"/>
      <c r="AC93" s="65"/>
      <c r="AD93" s="32" t="s">
        <v>241</v>
      </c>
      <c r="AE93" s="32"/>
      <c r="AF93" s="32"/>
      <c r="AG93" s="32"/>
      <c r="AQ93" s="18"/>
      <c r="AR93" s="18"/>
      <c r="AS93" s="18">
        <v>0</v>
      </c>
      <c r="AT93" s="18">
        <v>1</v>
      </c>
      <c r="AU93" s="18"/>
      <c r="AV93" s="18"/>
      <c r="BZ93" s="42"/>
      <c r="CA93" s="42"/>
      <c r="CB93" s="45">
        <v>0</v>
      </c>
      <c r="CC93" s="45">
        <v>1</v>
      </c>
      <c r="CD93" s="45"/>
      <c r="CE93" s="45"/>
    </row>
    <row r="94" spans="1:83">
      <c r="AD94" s="32"/>
      <c r="AE94" s="32"/>
      <c r="AF94" s="32"/>
      <c r="AG94" s="32"/>
      <c r="AQ94" s="18" t="s">
        <v>297</v>
      </c>
      <c r="AR94" s="18">
        <v>10</v>
      </c>
      <c r="AS94" s="19" t="s">
        <v>54</v>
      </c>
      <c r="AT94" s="19" t="s">
        <v>117</v>
      </c>
      <c r="AU94" s="18"/>
      <c r="AV94" s="18"/>
      <c r="BZ94" s="42" t="s">
        <v>836</v>
      </c>
      <c r="CA94" s="42">
        <v>11</v>
      </c>
      <c r="CB94" s="45" t="s">
        <v>819</v>
      </c>
      <c r="CC94" s="45" t="s">
        <v>110</v>
      </c>
      <c r="CD94" s="45"/>
      <c r="CE94" s="45"/>
    </row>
    <row r="95" spans="1:83" ht="16.149999999999999" thickBot="1">
      <c r="AD95" s="66" t="s">
        <v>242</v>
      </c>
      <c r="AE95" s="32"/>
      <c r="AF95" s="66" t="s">
        <v>243</v>
      </c>
      <c r="AG95" s="32"/>
      <c r="AQ95" s="18"/>
      <c r="AR95" s="18"/>
      <c r="AS95" s="18">
        <v>0</v>
      </c>
      <c r="AT95" s="18">
        <v>1</v>
      </c>
      <c r="AU95" s="18"/>
      <c r="AV95" s="18"/>
      <c r="BZ95" s="46" t="s">
        <v>354</v>
      </c>
      <c r="CA95" s="42"/>
      <c r="CB95" s="45">
        <v>0</v>
      </c>
      <c r="CC95" s="45">
        <v>1</v>
      </c>
      <c r="CD95" s="45"/>
      <c r="CE95" s="45"/>
    </row>
    <row r="96" spans="1:83">
      <c r="AD96" s="32" t="s">
        <v>417</v>
      </c>
      <c r="AE96" s="32"/>
      <c r="AF96" s="32" t="s">
        <v>422</v>
      </c>
      <c r="AG96" s="32"/>
      <c r="AQ96" s="18" t="s">
        <v>298</v>
      </c>
      <c r="AR96" s="18">
        <v>11</v>
      </c>
      <c r="AS96" s="19" t="s">
        <v>38</v>
      </c>
      <c r="AT96" s="19" t="s">
        <v>141</v>
      </c>
      <c r="AU96" s="18"/>
      <c r="AV96" s="18"/>
      <c r="BZ96" s="42" t="s">
        <v>833</v>
      </c>
      <c r="CA96" s="42">
        <v>12</v>
      </c>
      <c r="CB96" s="45" t="s">
        <v>820</v>
      </c>
      <c r="CC96" s="45" t="s">
        <v>64</v>
      </c>
      <c r="CD96" s="45"/>
      <c r="CE96" s="45"/>
    </row>
    <row r="97" spans="30:83">
      <c r="AD97" s="32" t="s">
        <v>870</v>
      </c>
      <c r="AE97" s="32"/>
      <c r="AF97" s="32" t="s">
        <v>423</v>
      </c>
      <c r="AG97" s="32"/>
      <c r="AQ97" s="18"/>
      <c r="AR97" s="18"/>
      <c r="AS97" s="18">
        <v>0</v>
      </c>
      <c r="AT97" s="18">
        <v>1</v>
      </c>
      <c r="AU97" s="18"/>
      <c r="AV97" s="18"/>
      <c r="BZ97" s="42"/>
      <c r="CA97" s="42"/>
      <c r="CB97" s="45">
        <v>1</v>
      </c>
      <c r="CC97" s="45">
        <v>0</v>
      </c>
      <c r="CD97" s="45"/>
      <c r="CE97" s="45"/>
    </row>
    <row r="98" spans="30:83">
      <c r="AD98" s="32" t="s">
        <v>418</v>
      </c>
      <c r="AE98" s="32"/>
      <c r="AF98" s="32" t="s">
        <v>424</v>
      </c>
      <c r="AG98" s="32"/>
      <c r="AQ98" s="18" t="s">
        <v>296</v>
      </c>
      <c r="AR98" s="18">
        <v>12</v>
      </c>
      <c r="AS98" s="19" t="s">
        <v>37</v>
      </c>
      <c r="AT98" s="19" t="s">
        <v>156</v>
      </c>
      <c r="AU98" s="18"/>
      <c r="AV98" s="18"/>
      <c r="BZ98" s="42" t="s">
        <v>837</v>
      </c>
      <c r="CA98" s="42">
        <v>13</v>
      </c>
      <c r="CB98" s="45" t="s">
        <v>821</v>
      </c>
      <c r="CC98" s="45" t="s">
        <v>893</v>
      </c>
      <c r="CD98" s="45"/>
      <c r="CE98" s="45"/>
    </row>
    <row r="99" spans="30:83">
      <c r="AD99" s="32" t="s">
        <v>419</v>
      </c>
      <c r="AE99" s="32"/>
      <c r="AF99" s="32" t="s">
        <v>425</v>
      </c>
      <c r="AG99" s="32"/>
      <c r="AQ99" s="58"/>
      <c r="AR99" s="58"/>
      <c r="AS99" s="58">
        <v>0</v>
      </c>
      <c r="AT99" s="58">
        <v>1</v>
      </c>
      <c r="AU99" s="58"/>
      <c r="AV99" s="58"/>
      <c r="BZ99" s="42"/>
      <c r="CA99" s="42"/>
      <c r="CB99" s="45">
        <v>0</v>
      </c>
      <c r="CC99" s="45">
        <v>1</v>
      </c>
      <c r="CD99" s="45"/>
      <c r="CE99" s="45"/>
    </row>
    <row r="100" spans="30:83">
      <c r="AD100" s="32" t="s">
        <v>420</v>
      </c>
      <c r="AE100" s="32"/>
      <c r="AF100" s="32" t="s">
        <v>426</v>
      </c>
      <c r="AG100" s="32"/>
      <c r="AQ100" s="18" t="s">
        <v>300</v>
      </c>
      <c r="AR100" s="18">
        <v>13</v>
      </c>
      <c r="AS100" s="19" t="s">
        <v>46</v>
      </c>
      <c r="AT100" s="19" t="s">
        <v>117</v>
      </c>
      <c r="AU100" s="18"/>
      <c r="AV100" s="18"/>
      <c r="BZ100" s="42" t="s">
        <v>838</v>
      </c>
      <c r="CA100" s="42">
        <v>14</v>
      </c>
      <c r="CB100" s="45" t="s">
        <v>852</v>
      </c>
      <c r="CC100" s="45" t="s">
        <v>36</v>
      </c>
      <c r="CD100" s="45"/>
      <c r="CE100" s="45"/>
    </row>
    <row r="101" spans="30:83">
      <c r="AD101" s="32" t="s">
        <v>421</v>
      </c>
      <c r="AE101" s="32"/>
      <c r="AF101" s="32" t="s">
        <v>427</v>
      </c>
      <c r="AG101" s="32"/>
      <c r="AQ101" s="18"/>
      <c r="AR101" s="18"/>
      <c r="AS101" s="18">
        <v>0</v>
      </c>
      <c r="AT101" s="18">
        <v>1</v>
      </c>
      <c r="AU101" s="18"/>
      <c r="AV101" s="18"/>
      <c r="BZ101" s="42"/>
      <c r="CA101" s="42"/>
      <c r="CB101" s="45">
        <v>1</v>
      </c>
      <c r="CC101" s="45">
        <v>0</v>
      </c>
      <c r="CD101" s="45"/>
      <c r="CE101" s="45"/>
    </row>
    <row r="102" spans="30:83">
      <c r="AQ102" s="18" t="s">
        <v>302</v>
      </c>
      <c r="AR102" s="18">
        <v>14</v>
      </c>
      <c r="AS102" s="19" t="s">
        <v>51</v>
      </c>
      <c r="AT102" s="19" t="s">
        <v>141</v>
      </c>
      <c r="AU102" s="18"/>
      <c r="AV102" s="18"/>
    </row>
    <row r="103" spans="30:83">
      <c r="AQ103" s="58"/>
      <c r="AR103" s="58"/>
      <c r="AS103" s="58">
        <v>0</v>
      </c>
      <c r="AT103" s="58">
        <v>1</v>
      </c>
      <c r="AU103" s="58"/>
      <c r="AV103" s="58"/>
    </row>
    <row r="104" spans="30:83">
      <c r="AQ104" s="18" t="s">
        <v>831</v>
      </c>
      <c r="AR104" s="18">
        <v>15</v>
      </c>
      <c r="AS104" s="19" t="s">
        <v>117</v>
      </c>
      <c r="AT104" s="19" t="s">
        <v>61</v>
      </c>
      <c r="AU104" s="18"/>
      <c r="AV104" s="18"/>
    </row>
    <row r="105" spans="30:83">
      <c r="AQ105" s="18"/>
      <c r="AR105" s="18"/>
      <c r="AS105" s="18">
        <v>1</v>
      </c>
      <c r="AT105" s="18">
        <v>0</v>
      </c>
      <c r="AU105" s="18"/>
      <c r="AV105" s="18"/>
    </row>
    <row r="106" spans="30:83">
      <c r="AQ106" s="49" t="s">
        <v>279</v>
      </c>
      <c r="AR106" s="49">
        <v>1</v>
      </c>
      <c r="AS106" s="54" t="s">
        <v>856</v>
      </c>
      <c r="AT106" s="54" t="s">
        <v>59</v>
      </c>
      <c r="AU106" s="49"/>
      <c r="AV106" s="86" t="s">
        <v>242</v>
      </c>
    </row>
    <row r="107" spans="30:83">
      <c r="AQ107" s="49"/>
      <c r="AR107" s="49"/>
      <c r="AS107" s="49">
        <v>1</v>
      </c>
      <c r="AT107" s="49">
        <v>0</v>
      </c>
      <c r="AU107" s="49"/>
      <c r="AV107" s="49"/>
    </row>
    <row r="108" spans="30:83">
      <c r="AQ108" s="49" t="s">
        <v>280</v>
      </c>
      <c r="AR108" s="49">
        <v>2</v>
      </c>
      <c r="AS108" s="54" t="s">
        <v>151</v>
      </c>
      <c r="AT108" s="54" t="s">
        <v>40</v>
      </c>
      <c r="AU108" s="49"/>
      <c r="AV108" s="49"/>
    </row>
    <row r="109" spans="30:83">
      <c r="AQ109" s="49"/>
      <c r="AR109" s="49"/>
      <c r="AS109" s="49">
        <v>1</v>
      </c>
      <c r="AT109" s="49">
        <v>0</v>
      </c>
      <c r="AU109" s="49"/>
      <c r="AV109" s="49"/>
    </row>
    <row r="110" spans="30:83">
      <c r="AQ110" s="49" t="s">
        <v>281</v>
      </c>
      <c r="AR110" s="49">
        <v>3</v>
      </c>
      <c r="AS110" s="54" t="s">
        <v>110</v>
      </c>
      <c r="AT110" s="54" t="s">
        <v>41</v>
      </c>
      <c r="AU110" s="49"/>
      <c r="AV110" s="49"/>
    </row>
    <row r="111" spans="30:83">
      <c r="AQ111" s="49"/>
      <c r="AR111" s="49"/>
      <c r="AS111" s="49">
        <v>1</v>
      </c>
      <c r="AT111" s="49">
        <v>0</v>
      </c>
      <c r="AU111" s="49"/>
      <c r="AV111" s="49"/>
    </row>
    <row r="112" spans="30:83">
      <c r="AQ112" s="49" t="s">
        <v>282</v>
      </c>
      <c r="AR112" s="49">
        <v>4</v>
      </c>
      <c r="AS112" s="54" t="s">
        <v>24</v>
      </c>
      <c r="AT112" s="54" t="s">
        <v>169</v>
      </c>
      <c r="AU112" s="49"/>
      <c r="AV112" s="49"/>
    </row>
    <row r="113" spans="43:48">
      <c r="AQ113" s="49"/>
      <c r="AR113" s="49"/>
      <c r="AS113" s="49">
        <v>0</v>
      </c>
      <c r="AT113" s="49">
        <v>1</v>
      </c>
      <c r="AU113" s="49"/>
      <c r="AV113" s="49"/>
    </row>
    <row r="114" spans="43:48">
      <c r="AQ114" s="49" t="s">
        <v>283</v>
      </c>
      <c r="AR114" s="49">
        <v>5</v>
      </c>
      <c r="AS114" s="54" t="s">
        <v>138</v>
      </c>
      <c r="AT114" s="54" t="s">
        <v>50</v>
      </c>
      <c r="AU114" s="49"/>
      <c r="AV114" s="49"/>
    </row>
    <row r="115" spans="43:48">
      <c r="AQ115" s="49"/>
      <c r="AR115" s="49"/>
      <c r="AS115" s="49">
        <v>1</v>
      </c>
      <c r="AT115" s="49">
        <v>0</v>
      </c>
      <c r="AU115" s="49"/>
      <c r="AV115" s="49"/>
    </row>
    <row r="116" spans="43:48">
      <c r="AQ116" s="49" t="s">
        <v>284</v>
      </c>
      <c r="AR116" s="49">
        <v>6</v>
      </c>
      <c r="AS116" s="54" t="s">
        <v>118</v>
      </c>
      <c r="AT116" s="54" t="s">
        <v>62</v>
      </c>
      <c r="AU116" s="49"/>
      <c r="AV116" s="49"/>
    </row>
    <row r="117" spans="43:48">
      <c r="AQ117" s="49"/>
      <c r="AR117" s="49"/>
      <c r="AS117" s="49">
        <v>1</v>
      </c>
      <c r="AT117" s="49">
        <v>0</v>
      </c>
      <c r="AU117" s="49"/>
      <c r="AV117" s="49"/>
    </row>
    <row r="118" spans="43:48">
      <c r="AQ118" s="49" t="s">
        <v>285</v>
      </c>
      <c r="AR118" s="49">
        <v>7</v>
      </c>
      <c r="AS118" s="54" t="s">
        <v>47</v>
      </c>
      <c r="AT118" s="54" t="s">
        <v>92</v>
      </c>
      <c r="AU118" s="49"/>
      <c r="AV118" s="49"/>
    </row>
    <row r="119" spans="43:48">
      <c r="AQ119" s="53"/>
      <c r="AR119" s="49"/>
      <c r="AS119" s="49">
        <v>0</v>
      </c>
      <c r="AT119" s="49">
        <v>1</v>
      </c>
      <c r="AU119" s="49"/>
      <c r="AV119" s="49"/>
    </row>
    <row r="120" spans="43:48">
      <c r="AQ120" s="49" t="s">
        <v>286</v>
      </c>
      <c r="AR120" s="49">
        <v>8</v>
      </c>
      <c r="AS120" s="54" t="s">
        <v>82</v>
      </c>
      <c r="AT120" s="54" t="s">
        <v>142</v>
      </c>
      <c r="AU120" s="49"/>
      <c r="AV120" s="49"/>
    </row>
    <row r="121" spans="43:48">
      <c r="AQ121" s="56"/>
      <c r="AR121" s="56"/>
      <c r="AS121" s="56">
        <v>0</v>
      </c>
      <c r="AT121" s="56">
        <v>1</v>
      </c>
      <c r="AU121" s="56"/>
      <c r="AV121" s="56"/>
    </row>
    <row r="122" spans="43:48">
      <c r="AQ122" s="49" t="s">
        <v>293</v>
      </c>
      <c r="AR122" s="49">
        <v>9</v>
      </c>
      <c r="AS122" s="54" t="s">
        <v>856</v>
      </c>
      <c r="AT122" s="54" t="s">
        <v>84</v>
      </c>
      <c r="AU122" s="49"/>
      <c r="AV122" s="49"/>
    </row>
    <row r="123" spans="43:48">
      <c r="AQ123" s="49"/>
      <c r="AR123" s="49"/>
      <c r="AS123" s="49">
        <v>1</v>
      </c>
      <c r="AT123" s="49">
        <v>0</v>
      </c>
      <c r="AU123" s="49"/>
      <c r="AV123" s="49"/>
    </row>
    <row r="124" spans="43:48">
      <c r="AQ124" s="49" t="s">
        <v>297</v>
      </c>
      <c r="AR124" s="49">
        <v>10</v>
      </c>
      <c r="AS124" s="54" t="s">
        <v>58</v>
      </c>
      <c r="AT124" s="54" t="s">
        <v>138</v>
      </c>
      <c r="AU124" s="49"/>
      <c r="AV124" s="49"/>
    </row>
    <row r="125" spans="43:48">
      <c r="AQ125" s="49"/>
      <c r="AR125" s="49"/>
      <c r="AS125" s="49">
        <v>0</v>
      </c>
      <c r="AT125" s="49">
        <v>1</v>
      </c>
      <c r="AU125" s="49"/>
      <c r="AV125" s="49"/>
    </row>
    <row r="126" spans="43:48">
      <c r="AQ126" s="49" t="s">
        <v>298</v>
      </c>
      <c r="AR126" s="49">
        <v>11</v>
      </c>
      <c r="AS126" s="54" t="s">
        <v>66</v>
      </c>
      <c r="AT126" s="54" t="s">
        <v>118</v>
      </c>
      <c r="AU126" s="49"/>
      <c r="AV126" s="49"/>
    </row>
    <row r="127" spans="43:48">
      <c r="AQ127" s="49"/>
      <c r="AR127" s="49"/>
      <c r="AS127" s="49">
        <v>0</v>
      </c>
      <c r="AT127" s="49">
        <v>1</v>
      </c>
      <c r="AU127" s="49"/>
      <c r="AV127" s="49"/>
    </row>
    <row r="128" spans="43:48">
      <c r="AQ128" s="149" t="s">
        <v>295</v>
      </c>
      <c r="AR128" s="149">
        <v>12</v>
      </c>
      <c r="AS128" s="150" t="s">
        <v>151</v>
      </c>
      <c r="AT128" s="150" t="s">
        <v>36</v>
      </c>
      <c r="AU128" s="149"/>
      <c r="AV128" s="149"/>
    </row>
    <row r="129" spans="43:48">
      <c r="AQ129" s="56"/>
      <c r="AR129" s="56"/>
      <c r="AS129" s="56">
        <v>1</v>
      </c>
      <c r="AT129" s="56">
        <v>0</v>
      </c>
      <c r="AU129" s="56"/>
      <c r="AV129" s="56"/>
    </row>
    <row r="130" spans="43:48">
      <c r="AQ130" s="49" t="s">
        <v>299</v>
      </c>
      <c r="AR130" s="49">
        <v>13</v>
      </c>
      <c r="AS130" s="54" t="s">
        <v>857</v>
      </c>
      <c r="AT130" s="54" t="s">
        <v>138</v>
      </c>
      <c r="AU130" s="49"/>
      <c r="AV130" s="49"/>
    </row>
    <row r="131" spans="43:48">
      <c r="AQ131" s="49"/>
      <c r="AR131" s="49"/>
      <c r="AS131" s="49">
        <v>0</v>
      </c>
      <c r="AT131" s="49">
        <v>1</v>
      </c>
      <c r="AU131" s="49"/>
      <c r="AV131" s="49"/>
    </row>
    <row r="132" spans="43:48">
      <c r="AQ132" s="49" t="s">
        <v>301</v>
      </c>
      <c r="AR132" s="49">
        <v>14</v>
      </c>
      <c r="AS132" s="54" t="s">
        <v>151</v>
      </c>
      <c r="AT132" s="54" t="s">
        <v>55</v>
      </c>
      <c r="AU132" s="49"/>
      <c r="AV132" s="49"/>
    </row>
    <row r="133" spans="43:48">
      <c r="AQ133" s="56"/>
      <c r="AR133" s="56"/>
      <c r="AS133" s="56">
        <v>1</v>
      </c>
      <c r="AT133" s="56">
        <v>0</v>
      </c>
      <c r="AU133" s="56"/>
      <c r="AV133" s="56"/>
    </row>
    <row r="134" spans="43:48">
      <c r="AQ134" s="49" t="s">
        <v>830</v>
      </c>
      <c r="AR134" s="49">
        <v>15</v>
      </c>
      <c r="AS134" s="54" t="s">
        <v>63</v>
      </c>
      <c r="AT134" s="54" t="s">
        <v>151</v>
      </c>
      <c r="AU134" s="49"/>
      <c r="AV134" s="49"/>
    </row>
    <row r="135" spans="43:48">
      <c r="AQ135" s="49"/>
      <c r="AR135" s="49"/>
      <c r="AS135" s="49">
        <v>0</v>
      </c>
      <c r="AT135" s="49">
        <v>1</v>
      </c>
      <c r="AU135" s="49"/>
      <c r="AV135" s="49"/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1"/>
  <sheetViews>
    <sheetView workbookViewId="0">
      <selection activeCell="E2" sqref="E2"/>
    </sheetView>
  </sheetViews>
  <sheetFormatPr defaultColWidth="11" defaultRowHeight="15.75"/>
  <cols>
    <col min="2" max="2" width="27.6875" bestFit="1" customWidth="1"/>
    <col min="5" max="5" width="145.1875" bestFit="1" customWidth="1"/>
    <col min="6" max="6" width="6.6875" customWidth="1"/>
    <col min="7" max="7" width="25.8125" bestFit="1" customWidth="1"/>
    <col min="8" max="8" width="23.6875" bestFit="1" customWidth="1"/>
    <col min="13" max="13" width="25.8125" bestFit="1" customWidth="1"/>
  </cols>
  <sheetData>
    <row r="1" spans="1:13" ht="23.25">
      <c r="B1" s="73" t="s">
        <v>407</v>
      </c>
      <c r="C1" t="s">
        <v>79</v>
      </c>
      <c r="D1" t="s">
        <v>80</v>
      </c>
      <c r="E1" t="s">
        <v>358</v>
      </c>
      <c r="M1" s="73"/>
    </row>
    <row r="2" spans="1:13">
      <c r="A2">
        <v>1</v>
      </c>
      <c r="B2" s="74" t="s">
        <v>42</v>
      </c>
      <c r="C2">
        <v>25</v>
      </c>
      <c r="D2">
        <v>7</v>
      </c>
      <c r="E2" t="s">
        <v>361</v>
      </c>
    </row>
    <row r="3" spans="1:13">
      <c r="A3">
        <v>2</v>
      </c>
      <c r="B3" t="s">
        <v>53</v>
      </c>
      <c r="C3">
        <v>26</v>
      </c>
      <c r="D3">
        <v>17</v>
      </c>
      <c r="E3" t="s">
        <v>397</v>
      </c>
    </row>
    <row r="4" spans="1:13">
      <c r="A4">
        <v>3</v>
      </c>
      <c r="B4" t="s">
        <v>37</v>
      </c>
      <c r="C4">
        <v>21</v>
      </c>
      <c r="D4">
        <v>8</v>
      </c>
      <c r="E4" t="s">
        <v>664</v>
      </c>
    </row>
    <row r="5" spans="1:13">
      <c r="A5">
        <v>4</v>
      </c>
      <c r="B5" t="s">
        <v>56</v>
      </c>
      <c r="C5">
        <v>19</v>
      </c>
      <c r="D5">
        <v>8</v>
      </c>
      <c r="E5" t="s">
        <v>359</v>
      </c>
    </row>
    <row r="6" spans="1:13">
      <c r="A6">
        <v>5</v>
      </c>
      <c r="B6" t="s">
        <v>64</v>
      </c>
      <c r="C6">
        <v>20</v>
      </c>
      <c r="D6">
        <v>7</v>
      </c>
      <c r="E6" t="s">
        <v>360</v>
      </c>
    </row>
    <row r="8" spans="1:13" ht="23.25">
      <c r="B8" s="73" t="s">
        <v>408</v>
      </c>
      <c r="G8" s="73"/>
    </row>
    <row r="9" spans="1:13">
      <c r="A9">
        <v>1</v>
      </c>
      <c r="B9" t="s">
        <v>371</v>
      </c>
      <c r="E9" t="s">
        <v>372</v>
      </c>
    </row>
    <row r="10" spans="1:13">
      <c r="A10">
        <v>2</v>
      </c>
      <c r="B10" s="74" t="s">
        <v>373</v>
      </c>
      <c r="E10" t="s">
        <v>374</v>
      </c>
    </row>
    <row r="12" spans="1:13" ht="23.25">
      <c r="B12" s="73" t="s">
        <v>356</v>
      </c>
      <c r="C12" t="s">
        <v>79</v>
      </c>
      <c r="D12" t="s">
        <v>80</v>
      </c>
    </row>
    <row r="13" spans="1:13">
      <c r="A13">
        <v>1</v>
      </c>
      <c r="B13" s="74" t="s">
        <v>53</v>
      </c>
      <c r="C13">
        <v>26</v>
      </c>
      <c r="D13">
        <v>17</v>
      </c>
      <c r="E13" t="s">
        <v>362</v>
      </c>
    </row>
    <row r="14" spans="1:13">
      <c r="A14">
        <v>2</v>
      </c>
      <c r="B14" t="s">
        <v>24</v>
      </c>
      <c r="C14">
        <v>19</v>
      </c>
      <c r="D14">
        <v>13</v>
      </c>
      <c r="E14" t="s">
        <v>363</v>
      </c>
    </row>
    <row r="15" spans="1:13">
      <c r="A15">
        <v>3</v>
      </c>
      <c r="B15" t="s">
        <v>62</v>
      </c>
      <c r="C15">
        <v>11</v>
      </c>
      <c r="D15">
        <v>14</v>
      </c>
      <c r="E15" t="s">
        <v>364</v>
      </c>
    </row>
    <row r="16" spans="1:13">
      <c r="A16">
        <v>4</v>
      </c>
      <c r="B16" t="s">
        <v>64</v>
      </c>
      <c r="C16">
        <v>20</v>
      </c>
      <c r="D16">
        <v>7</v>
      </c>
      <c r="E16" t="s">
        <v>365</v>
      </c>
    </row>
    <row r="17" spans="1:5">
      <c r="A17">
        <v>5</v>
      </c>
      <c r="B17" t="s">
        <v>66</v>
      </c>
      <c r="C17">
        <v>19</v>
      </c>
      <c r="D17">
        <v>9</v>
      </c>
      <c r="E17" t="s">
        <v>366</v>
      </c>
    </row>
    <row r="19" spans="1:5" ht="23.25">
      <c r="B19" s="73" t="s">
        <v>357</v>
      </c>
      <c r="C19" t="s">
        <v>79</v>
      </c>
      <c r="D19" t="s">
        <v>80</v>
      </c>
    </row>
    <row r="20" spans="1:5">
      <c r="A20">
        <v>1</v>
      </c>
      <c r="B20" s="74" t="s">
        <v>60</v>
      </c>
      <c r="C20">
        <v>7</v>
      </c>
      <c r="D20">
        <v>25</v>
      </c>
      <c r="E20" t="s">
        <v>367</v>
      </c>
    </row>
    <row r="21" spans="1:5">
      <c r="A21">
        <v>2</v>
      </c>
      <c r="B21" t="s">
        <v>36</v>
      </c>
      <c r="C21">
        <v>12</v>
      </c>
      <c r="D21">
        <v>19</v>
      </c>
      <c r="E21" t="s">
        <v>368</v>
      </c>
    </row>
    <row r="22" spans="1:5">
      <c r="A22">
        <v>3</v>
      </c>
      <c r="B22" t="s">
        <v>41</v>
      </c>
      <c r="C22">
        <v>10</v>
      </c>
      <c r="D22">
        <v>15</v>
      </c>
      <c r="E22" t="s">
        <v>369</v>
      </c>
    </row>
    <row r="23" spans="1:5">
      <c r="A23">
        <v>4</v>
      </c>
      <c r="B23" t="s">
        <v>65</v>
      </c>
      <c r="C23">
        <v>11</v>
      </c>
      <c r="D23">
        <v>17</v>
      </c>
      <c r="E23" t="s">
        <v>368</v>
      </c>
    </row>
    <row r="24" spans="1:5">
      <c r="A24">
        <v>5</v>
      </c>
      <c r="B24" t="s">
        <v>58</v>
      </c>
      <c r="C24">
        <v>10</v>
      </c>
      <c r="D24">
        <v>16</v>
      </c>
      <c r="E24" t="s">
        <v>370</v>
      </c>
    </row>
    <row r="26" spans="1:5" ht="23.25">
      <c r="B26" s="75" t="s">
        <v>415</v>
      </c>
    </row>
    <row r="27" spans="1:5">
      <c r="A27">
        <v>1</v>
      </c>
      <c r="B27" t="s">
        <v>375</v>
      </c>
      <c r="C27" s="148" t="s">
        <v>376</v>
      </c>
      <c r="D27" s="148"/>
      <c r="E27" s="148"/>
    </row>
    <row r="28" spans="1:5">
      <c r="A28">
        <v>2</v>
      </c>
      <c r="B28" s="74" t="s">
        <v>378</v>
      </c>
      <c r="C28" s="148" t="s">
        <v>377</v>
      </c>
      <c r="D28" s="148"/>
      <c r="E28" s="148"/>
    </row>
    <row r="29" spans="1:5">
      <c r="A29">
        <v>3</v>
      </c>
      <c r="B29" t="s">
        <v>380</v>
      </c>
      <c r="C29" s="148" t="s">
        <v>379</v>
      </c>
      <c r="D29" s="148"/>
      <c r="E29" s="148"/>
    </row>
    <row r="30" spans="1:5">
      <c r="A30">
        <v>4</v>
      </c>
      <c r="B30" t="s">
        <v>382</v>
      </c>
      <c r="C30" s="148" t="s">
        <v>381</v>
      </c>
      <c r="D30" s="148"/>
      <c r="E30" s="148"/>
    </row>
    <row r="31" spans="1:5">
      <c r="A31">
        <v>5</v>
      </c>
      <c r="B31" t="s">
        <v>383</v>
      </c>
      <c r="C31" s="148" t="s">
        <v>384</v>
      </c>
      <c r="D31" s="148"/>
      <c r="E31" s="148"/>
    </row>
  </sheetData>
  <mergeCells count="5">
    <mergeCell ref="C27:E27"/>
    <mergeCell ref="C28:E28"/>
    <mergeCell ref="C29:E29"/>
    <mergeCell ref="C30:E30"/>
    <mergeCell ref="C31:E3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17"/>
  <sheetViews>
    <sheetView workbookViewId="0">
      <selection activeCell="B6" sqref="B6"/>
    </sheetView>
  </sheetViews>
  <sheetFormatPr defaultColWidth="11" defaultRowHeight="15.75"/>
  <cols>
    <col min="1" max="1" width="17.3125" bestFit="1" customWidth="1"/>
    <col min="2" max="2" width="6" bestFit="1" customWidth="1"/>
    <col min="3" max="3" width="4.5" bestFit="1" customWidth="1"/>
    <col min="4" max="4" width="15" bestFit="1" customWidth="1"/>
    <col min="5" max="5" width="16.8125" bestFit="1" customWidth="1"/>
    <col min="6" max="6" width="5.5" bestFit="1" customWidth="1"/>
    <col min="7" max="7" width="4.6875" bestFit="1" customWidth="1"/>
  </cols>
  <sheetData>
    <row r="1" spans="1:3">
      <c r="A1" t="s">
        <v>86</v>
      </c>
      <c r="B1" s="13" t="s">
        <v>79</v>
      </c>
      <c r="C1" s="14" t="s">
        <v>80</v>
      </c>
    </row>
    <row r="2" spans="1:3">
      <c r="A2" s="51" t="s">
        <v>61</v>
      </c>
      <c r="B2" s="15">
        <f>COUNTIF('Season 5'!A:CF,  CONCATENATE(TRIM(A2), " ","-"," ","W*"))</f>
        <v>28</v>
      </c>
      <c r="C2" s="16">
        <f>SUM(COUNTIF('Season 5'!A:AAO, TRIM(A2)), COUNTIF('Season 5'!A:AAO, TRIM(A2) &amp; " (Defending)"), COUNTIF('Season 5'!A:AAO, TRIM(A2) &amp; " (PL)"), COUNTIF('Season 5'!A:AAO, TRIM(A2) &amp; " (PL) (Defending)"))</f>
        <v>12</v>
      </c>
    </row>
    <row r="3" spans="1:3">
      <c r="A3" s="51" t="s">
        <v>42</v>
      </c>
      <c r="B3" s="15">
        <f>COUNTIF('Season 5'!A:CF,  CONCATENATE(TRIM(A3), " ","-"," ","W*"))</f>
        <v>26</v>
      </c>
      <c r="C3" s="16">
        <f>SUM(COUNTIF('Season 5'!A:AAO, TRIM(A3)), COUNTIF('Season 5'!A:AAO, TRIM(A3) &amp; " (Defending)"), COUNTIF('Season 5'!A:AAO, TRIM(A3) &amp; " (PL)"), COUNTIF('Season 5'!A:AAO, TRIM(A3) &amp; " (PL) (Defending)"))</f>
        <v>8</v>
      </c>
    </row>
    <row r="4" spans="1:3">
      <c r="A4" s="51" t="s">
        <v>37</v>
      </c>
      <c r="B4" s="15">
        <f>COUNTIF('Season 5'!A:CF,  CONCATENATE(TRIM(A4), " ","-"," ","W*"))</f>
        <v>21</v>
      </c>
      <c r="C4" s="16">
        <f>SUM(COUNTIF('Season 5'!A:AAO, TRIM(A4)), COUNTIF('Season 5'!A:AAO, TRIM(A4) &amp; " (Defending)"), COUNTIF('Season 5'!A:AAO, TRIM(A4) &amp; " (PL)"), COUNTIF('Season 5'!A:AAO, TRIM(A4) &amp; " (PL) (Defending)"))</f>
        <v>8</v>
      </c>
    </row>
    <row r="5" spans="1:3">
      <c r="A5" s="51" t="s">
        <v>51</v>
      </c>
      <c r="B5" s="15">
        <f>COUNTIF('Season 5'!A:CF,  CONCATENATE(TRIM(A5), " ","-"," ","W*"))</f>
        <v>22</v>
      </c>
      <c r="C5" s="16">
        <f>SUM(COUNTIF('Season 5'!A:AAO, TRIM(A5)), COUNTIF('Season 5'!A:AAO, TRIM(A5) &amp; " (Defending)"), COUNTIF('Season 5'!A:AAO, TRIM(A5) &amp; " (PL)"), COUNTIF('Season 5'!A:AAO, TRIM(A5) &amp; " (PL) (Defending)"))</f>
        <v>9</v>
      </c>
    </row>
    <row r="6" spans="1:3">
      <c r="A6" s="51" t="s">
        <v>56</v>
      </c>
      <c r="B6" s="15">
        <f>COUNTIF('Season 5'!A:CF,  CONCATENATE(TRIM(A6), " ","-"," ","W*"))</f>
        <v>19</v>
      </c>
      <c r="C6" s="16">
        <f>SUM(COUNTIF('Season 5'!A:AAO, TRIM(A6)), COUNTIF('Season 5'!A:AAO, TRIM(A6) &amp; " (Defending)"), COUNTIF('Season 5'!A:AAO, TRIM(A6) &amp; " (PL)"), COUNTIF('Season 5'!A:AAO, TRIM(A6) &amp; " (PL) (Defending)"))</f>
        <v>8</v>
      </c>
    </row>
    <row r="7" spans="1:3">
      <c r="A7" s="51" t="s">
        <v>38</v>
      </c>
      <c r="B7" s="15">
        <f>COUNTIF('Season 5'!A:CF,  CONCATENATE(TRIM(A7), " ","-"," ","W*"))</f>
        <v>17</v>
      </c>
      <c r="C7" s="16">
        <f>SUM(COUNTIF('Season 5'!A:AAO, TRIM(A7)), COUNTIF('Season 5'!A:AAO, TRIM(A7) &amp; " (Defending)"), COUNTIF('Season 5'!A:AAO, TRIM(A7) &amp; " (PL)"), COUNTIF('Season 5'!A:AAO, TRIM(A7) &amp; " (PL) (Defending)"))</f>
        <v>13</v>
      </c>
    </row>
    <row r="8" spans="1:3">
      <c r="A8" s="51" t="s">
        <v>49</v>
      </c>
      <c r="B8" s="15">
        <f>COUNTIF('Season 5'!A:CF,  CONCATENATE(TRIM(A8), " ","-"," ","W*"))</f>
        <v>17</v>
      </c>
      <c r="C8" s="16">
        <f>SUM(COUNTIF('Season 5'!A:AAO, TRIM(A8)), COUNTIF('Season 5'!A:AAO, TRIM(A8) &amp; " (Defending)"), COUNTIF('Season 5'!A:AAO, TRIM(A8) &amp; " (PL)"), COUNTIF('Season 5'!A:AAO, TRIM(A8) &amp; " (PL) (Defending)"))</f>
        <v>13</v>
      </c>
    </row>
    <row r="9" spans="1:3">
      <c r="A9" s="51" t="s">
        <v>45</v>
      </c>
      <c r="B9" s="15">
        <f>COUNTIF('Season 5'!A:CF,  CONCATENATE(TRIM(A9), " ","-"," ","W*"))</f>
        <v>16</v>
      </c>
      <c r="C9" s="16">
        <f>SUM(COUNTIF('Season 5'!A:AAO, TRIM(A9)), COUNTIF('Season 5'!A:AAO, TRIM(A9) &amp; " (Defending)"), COUNTIF('Season 5'!A:AAO, TRIM(A9) &amp; " (PL)"), COUNTIF('Season 5'!A:AAO, TRIM(A9) &amp; " (PL) (Defending)"))</f>
        <v>16</v>
      </c>
    </row>
    <row r="10" spans="1:3">
      <c r="A10" s="51" t="s">
        <v>46</v>
      </c>
      <c r="B10" s="15">
        <f>COUNTIF('Season 5'!A:CF,  CONCATENATE(TRIM(A10), " ","-"," ","W*"))</f>
        <v>15</v>
      </c>
      <c r="C10" s="16">
        <f>SUM(COUNTIF('Season 5'!A:AAO, TRIM(A10)), COUNTIF('Season 5'!A:AAO, TRIM(A10) &amp; " (Defending)"), COUNTIF('Season 5'!A:AAO, TRIM(A10) &amp; " (PL)"), COUNTIF('Season 5'!A:AAO, TRIM(A10) &amp; " (PL) (Defending)"))</f>
        <v>19</v>
      </c>
    </row>
    <row r="11" spans="1:3">
      <c r="A11" s="51" t="s">
        <v>54</v>
      </c>
      <c r="B11" s="15">
        <f>COUNTIF('Season 5'!A:CF,  CONCATENATE(TRIM(A11), " ","-"," ","W*"))</f>
        <v>14</v>
      </c>
      <c r="C11" s="16">
        <f>SUM(COUNTIF('Season 5'!A:AAO, TRIM(A11)), COUNTIF('Season 5'!A:AAO, TRIM(A11) &amp; " (Defending)"), COUNTIF('Season 5'!A:AAO, TRIM(A11) &amp; " (PL)"), COUNTIF('Season 5'!A:AAO, TRIM(A11) &amp; " (PL) (Defending)"))</f>
        <v>21</v>
      </c>
    </row>
    <row r="12" spans="1:3">
      <c r="A12" s="51" t="s">
        <v>52</v>
      </c>
      <c r="B12" s="15">
        <f>COUNTIF('Season 5'!A:CF,  CONCATENATE(TRIM(A12), " ","-"," ","W*"))</f>
        <v>13</v>
      </c>
      <c r="C12" s="16">
        <f>SUM(COUNTIF('Season 5'!A:AAO, TRIM(A12)), COUNTIF('Season 5'!A:AAO, TRIM(A12) &amp; " (Defending)"), COUNTIF('Season 5'!A:AAO, TRIM(A12) &amp; " (PL)"), COUNTIF('Season 5'!A:AAO, TRIM(A12) &amp; " (PL) (Defending)"))</f>
        <v>18</v>
      </c>
    </row>
    <row r="13" spans="1:3">
      <c r="A13" s="51" t="s">
        <v>65</v>
      </c>
      <c r="B13" s="15">
        <f>COUNTIF('Season 5'!A:CF,  CONCATENATE(TRIM(A13), " ","-"," ","W*"))</f>
        <v>11</v>
      </c>
      <c r="C13" s="16">
        <f>SUM(COUNTIF('Season 5'!A:AAO, TRIM(A13)), COUNTIF('Season 5'!A:AAO, TRIM(A13) &amp; " (Defending)"), COUNTIF('Season 5'!A:AAO, TRIM(A13) &amp; " (PL)"), COUNTIF('Season 5'!A:AAO, TRIM(A13) &amp; " (PL) (Defending)"))</f>
        <v>17</v>
      </c>
    </row>
    <row r="14" spans="1:3">
      <c r="A14" s="51" t="s">
        <v>39</v>
      </c>
      <c r="B14" s="15">
        <f>COUNTIF('Season 5'!A:CF,  CONCATENATE(TRIM(A14), " ","-"," ","W*"))</f>
        <v>9</v>
      </c>
      <c r="C14" s="16">
        <f>SUM(COUNTIF('Season 5'!A:AAO, TRIM(A14)), COUNTIF('Season 5'!A:AAO, TRIM(A14) &amp; " (Defending)"), COUNTIF('Season 5'!A:AAO, TRIM(A14) &amp; " (PL)"), COUNTIF('Season 5'!A:AAO, TRIM(A14) &amp; " (PL) (Defending)"))</f>
        <v>18</v>
      </c>
    </row>
    <row r="15" spans="1:3">
      <c r="A15" s="51" t="s">
        <v>43</v>
      </c>
      <c r="B15" s="15">
        <f>COUNTIF('Season 5'!A:CF,  CONCATENATE(TRIM(A15), " ","-"," ","W*"))</f>
        <v>9</v>
      </c>
      <c r="C15" s="16">
        <f>SUM(COUNTIF('Season 5'!A:AAO, TRIM(A15)), COUNTIF('Season 5'!A:AAO, TRIM(A15) &amp; " (Defending)"), COUNTIF('Season 5'!A:AAO, TRIM(A15) &amp; " (PL)"), COUNTIF('Season 5'!A:AAO, TRIM(A15) &amp; " (PL) (Defending)"))</f>
        <v>17</v>
      </c>
    </row>
    <row r="16" spans="1:3">
      <c r="A16" s="51" t="s">
        <v>60</v>
      </c>
      <c r="B16" s="15">
        <f>COUNTIF('Season 5'!A:CF,  CONCATENATE(TRIM(A16), " ","-"," ","W*"))</f>
        <v>7</v>
      </c>
      <c r="C16" s="16">
        <f>SUM(COUNTIF('Season 5'!A:AAO, TRIM(A16)), COUNTIF('Season 5'!A:AAO, TRIM(A16) &amp; " (Defending)"), COUNTIF('Season 5'!A:AAO, TRIM(A16) &amp; " (PL)"), COUNTIF('Season 5'!A:AAO, TRIM(A16) &amp; " (PL) (Defending)"))</f>
        <v>25</v>
      </c>
    </row>
    <row r="17" spans="1:3">
      <c r="A17" s="51" t="s">
        <v>57</v>
      </c>
      <c r="B17" s="15">
        <f>COUNTIF('Season 5'!A:CF,  CONCATENATE(TRIM(A17), " ","-"," ","W*"))</f>
        <v>6</v>
      </c>
      <c r="C17" s="16">
        <f>SUM(COUNTIF('Season 5'!A:AAO, TRIM(A17)), COUNTIF('Season 5'!A:AAO, TRIM(A17) &amp; " (Defending)"), COUNTIF('Season 5'!A:AAO, TRIM(A17) &amp; " (PL)"), COUNTIF('Season 5'!A:AAO, TRIM(A17) &amp; " (PL) (Defending)"))</f>
        <v>16</v>
      </c>
    </row>
    <row r="18" spans="1:3">
      <c r="A18" s="51" t="s">
        <v>44</v>
      </c>
      <c r="B18" s="15">
        <f>COUNTIF('Season 5'!A:CF,  CONCATENATE(TRIM(A18), " ","-"," ","W*"))</f>
        <v>5</v>
      </c>
      <c r="C18" s="16">
        <f>SUM(COUNTIF('Season 5'!A:AAO, TRIM(A18)), COUNTIF('Season 5'!A:AAO, TRIM(A18) &amp; " (Defending)"), COUNTIF('Season 5'!A:AAO, TRIM(A18) &amp; " (PL)"), COUNTIF('Season 5'!A:AAO, TRIM(A18) &amp; " (PL) (Defending)"))</f>
        <v>17</v>
      </c>
    </row>
    <row r="19" spans="1:3">
      <c r="A19" s="51" t="s">
        <v>48</v>
      </c>
      <c r="B19" s="15">
        <f>COUNTIF('Season 5'!A:CF,  CONCATENATE(TRIM(A19), " ","-"," ","W*"))</f>
        <v>1</v>
      </c>
      <c r="C19" s="16">
        <f>SUM(COUNTIF('Season 5'!A:AAO, TRIM(A19)), COUNTIF('Season 5'!A:AAO, TRIM(A19) &amp; " (Defending)"), COUNTIF('Season 5'!A:AAO, TRIM(A19) &amp; " (PL)"), COUNTIF('Season 5'!A:AAO, TRIM(A19) &amp; " (PL) (Defending)"))</f>
        <v>18</v>
      </c>
    </row>
    <row r="21" spans="1:3">
      <c r="A21" t="s">
        <v>85</v>
      </c>
      <c r="B21" s="13" t="s">
        <v>79</v>
      </c>
      <c r="C21" s="14" t="s">
        <v>80</v>
      </c>
    </row>
    <row r="22" spans="1:3">
      <c r="A22" s="51" t="s">
        <v>53</v>
      </c>
      <c r="B22" s="15">
        <f>COUNTIF('Season 5'!A:CF,  CONCATENATE(TRIM(A22), " ","-"," ","W*"))</f>
        <v>26</v>
      </c>
      <c r="C22" s="16">
        <f>SUM(COUNTIF('Season 5'!A:AAO, TRIM(A22)), COUNTIF('Season 5'!A:AAO, TRIM(A22) &amp; " (Defending)"), COUNTIF('Season 5'!A:AAO, TRIM(A22) &amp; " (PL)"), COUNTIF('Season 5'!A:AAO, TRIM(A22) &amp; " (PL) (Defending)"))</f>
        <v>17</v>
      </c>
    </row>
    <row r="23" spans="1:3">
      <c r="A23" s="51" t="s">
        <v>63</v>
      </c>
      <c r="B23" s="15">
        <f>COUNTIF('Season 5'!A:CF,  CONCATENATE(TRIM(A23), " ","-"," ","W*"))</f>
        <v>24</v>
      </c>
      <c r="C23" s="16">
        <f>SUM(COUNTIF('Season 5'!A:AAO, TRIM(A23)), COUNTIF('Season 5'!A:AAO, TRIM(A23) &amp; " (Defending)"), COUNTIF('Season 5'!A:AAO, TRIM(A23) &amp; " (PL)"), COUNTIF('Season 5'!A:AAO, TRIM(A23) &amp; " (PL) (Defending)"))</f>
        <v>13</v>
      </c>
    </row>
    <row r="24" spans="1:3">
      <c r="A24" s="51" t="s">
        <v>64</v>
      </c>
      <c r="B24" s="15">
        <f>COUNTIF('Season 5'!A:CF,  CONCATENATE(TRIM(A24), " ","-"," ","W*"))</f>
        <v>20</v>
      </c>
      <c r="C24" s="16">
        <f>SUM(COUNTIF('Season 5'!A:AAO, TRIM(A24)), COUNTIF('Season 5'!A:AAO, TRIM(A24) &amp; " (Defending)"), COUNTIF('Season 5'!A:AAO, TRIM(A24) &amp; " (PL)"), COUNTIF('Season 5'!A:AAO, TRIM(A24) &amp; " (PL) (Defending)"))</f>
        <v>7</v>
      </c>
    </row>
    <row r="25" spans="1:3">
      <c r="A25" s="51" t="s">
        <v>55</v>
      </c>
      <c r="B25" s="15">
        <f>COUNTIF('Season 5'!A:CF,  CONCATENATE(TRIM(A25), " ","-"," ","W*"))</f>
        <v>22</v>
      </c>
      <c r="C25" s="16">
        <f>SUM(COUNTIF('Season 5'!A:AAO, TRIM(A25)), COUNTIF('Season 5'!A:AAO, TRIM(A25) &amp; " (Defending)"), COUNTIF('Season 5'!A:AAO, TRIM(A25) &amp; " (PL)"), COUNTIF('Season 5'!A:AAO, TRIM(A25) &amp; " (PL) (Defending)"))</f>
        <v>10</v>
      </c>
    </row>
    <row r="26" spans="1:3">
      <c r="A26" s="51" t="s">
        <v>24</v>
      </c>
      <c r="B26" s="15">
        <f>COUNTIF('Season 5'!A:CF,  CONCATENATE(TRIM(A26), " ","-"," ","W*"))</f>
        <v>19</v>
      </c>
      <c r="C26" s="16">
        <f>SUM(COUNTIF('Season 5'!A:AAO, TRIM(A26)), COUNTIF('Season 5'!A:AAO, TRIM(A26) &amp; " (Defending)"), COUNTIF('Season 5'!A:AAO, TRIM(A26) &amp; " (PL)"), COUNTIF('Season 5'!A:AAO, TRIM(A26) &amp; " (PL) (Defending)"))</f>
        <v>13</v>
      </c>
    </row>
    <row r="27" spans="1:3">
      <c r="A27" s="51" t="s">
        <v>47</v>
      </c>
      <c r="B27" s="15">
        <f>COUNTIF('Season 5'!A:CF,  CONCATENATE(TRIM(A27), " ","-"," ","W*"))</f>
        <v>18</v>
      </c>
      <c r="C27" s="16">
        <f>SUM(COUNTIF('Season 5'!A:AAO, TRIM(A27)), COUNTIF('Season 5'!A:AAO, TRIM(A27) &amp; " (Defending)"), COUNTIF('Season 5'!A:AAO, TRIM(A27) &amp; " (PL)"), COUNTIF('Season 5'!A:AAO, TRIM(A27) &amp; " (PL) (Defending)"))</f>
        <v>13</v>
      </c>
    </row>
    <row r="28" spans="1:3">
      <c r="A28" s="51" t="s">
        <v>66</v>
      </c>
      <c r="B28" s="15">
        <f>COUNTIF('Season 5'!A:CF,  CONCATENATE(TRIM(A28), " ","-"," ","W*"))</f>
        <v>19</v>
      </c>
      <c r="C28" s="16">
        <f>SUM(COUNTIF('Season 5'!A:AAO, TRIM(A28)), COUNTIF('Season 5'!A:AAO, TRIM(A28) &amp; " (Defending)"), COUNTIF('Season 5'!A:AAO, TRIM(A28) &amp; " (PL)"), COUNTIF('Season 5'!A:AAO, TRIM(A28) &amp; " (PL) (Defending)"))</f>
        <v>9</v>
      </c>
    </row>
    <row r="29" spans="1:3">
      <c r="A29" s="51" t="s">
        <v>84</v>
      </c>
      <c r="B29" s="15">
        <f>COUNTIF('Season 5'!A:CF,  CONCATENATE(TRIM(A29), " ","-"," ","W*"))</f>
        <v>15</v>
      </c>
      <c r="C29" s="16">
        <f>SUM(COUNTIF('Season 5'!A:AAO, TRIM(A29)), COUNTIF('Season 5'!A:AAO, TRIM(A29) &amp; " (Defending)"), COUNTIF('Season 5'!A:AAO, TRIM(A29) &amp; " (PL)"), COUNTIF('Season 5'!A:AAO, TRIM(A29) &amp; " (PL) (Defending)"))</f>
        <v>14</v>
      </c>
    </row>
    <row r="30" spans="1:3">
      <c r="A30" s="51" t="s">
        <v>82</v>
      </c>
      <c r="B30" s="15">
        <f>COUNTIF('Season 5'!A:CF,  CONCATENATE(TRIM(A30), " ","-"," ","W*"))</f>
        <v>14</v>
      </c>
      <c r="C30" s="16">
        <f>SUM(COUNTIF('Season 5'!A:AAO, TRIM(A30)), COUNTIF('Season 5'!A:AAO, TRIM(A30) &amp; " (Defending)"), COUNTIF('Season 5'!A:AAO, TRIM(A30) &amp; " (PL)"), COUNTIF('Season 5'!A:AAO, TRIM(A30) &amp; " (PL) (Defending)"))</f>
        <v>16</v>
      </c>
    </row>
    <row r="31" spans="1:3">
      <c r="A31" s="51" t="s">
        <v>36</v>
      </c>
      <c r="B31" s="15">
        <f>COUNTIF('Season 5'!A:CF,  CONCATENATE(TRIM(A31), " ","-"," ","W*"))</f>
        <v>12</v>
      </c>
      <c r="C31" s="16">
        <f>SUM(COUNTIF('Season 5'!A:AAO, TRIM(A31)), COUNTIF('Season 5'!A:AAO, TRIM(A31) &amp; " (Defending)"), COUNTIF('Season 5'!A:AAO, TRIM(A31) &amp; " (PL)"), COUNTIF('Season 5'!A:AAO, TRIM(A31) &amp; " (PL) (Defending)"))</f>
        <v>19</v>
      </c>
    </row>
    <row r="32" spans="1:3">
      <c r="A32" s="51" t="s">
        <v>58</v>
      </c>
      <c r="B32" s="15">
        <f>COUNTIF('Season 5'!A:CF,  CONCATENATE(TRIM(A32), " ","-"," ","W*"))</f>
        <v>12</v>
      </c>
      <c r="C32" s="16">
        <f>SUM(COUNTIF('Season 5'!A:AAO, TRIM(A32)), COUNTIF('Season 5'!A:AAO, TRIM(A32) &amp; " (Defending)"), COUNTIF('Season 5'!A:AAO, TRIM(A32) &amp; " (PL)"), COUNTIF('Season 5'!A:AAO, TRIM(A32) &amp; " (PL) (Defending)"))</f>
        <v>16</v>
      </c>
    </row>
    <row r="33" spans="1:3">
      <c r="A33" s="51" t="s">
        <v>62</v>
      </c>
      <c r="B33" s="15">
        <f>COUNTIF('Season 5'!A:CF,  CONCATENATE(TRIM(A33), " ","-"," ","W*"))</f>
        <v>11</v>
      </c>
      <c r="C33" s="16">
        <f>SUM(COUNTIF('Season 5'!A:AAO, TRIM(A33)), COUNTIF('Season 5'!A:AAO, TRIM(A33) &amp; " (Defending)"), COUNTIF('Season 5'!A:AAO, TRIM(A33) &amp; " (PL)"), COUNTIF('Season 5'!A:AAO, TRIM(A33) &amp; " (PL) (Defending)"))</f>
        <v>14</v>
      </c>
    </row>
    <row r="34" spans="1:3">
      <c r="A34" s="51" t="s">
        <v>50</v>
      </c>
      <c r="B34" s="15">
        <f>COUNTIF('Season 5'!A:CF,  CONCATENATE(TRIM(A34), " ","-"," ","W*"))</f>
        <v>11</v>
      </c>
      <c r="C34" s="16">
        <f>SUM(COUNTIF('Season 5'!A:AAO, TRIM(A34)), COUNTIF('Season 5'!A:AAO, TRIM(A34) &amp; " (Defending)"), COUNTIF('Season 5'!A:AAO, TRIM(A34) &amp; " (PL)"), COUNTIF('Season 5'!A:AAO, TRIM(A34) &amp; " (PL) (Defending)"))</f>
        <v>18</v>
      </c>
    </row>
    <row r="35" spans="1:3">
      <c r="A35" s="51" t="s">
        <v>41</v>
      </c>
      <c r="B35" s="15">
        <f>COUNTIF('Season 5'!A:CF,  CONCATENATE(TRIM(A35), " ","-"," ","W*"))</f>
        <v>10</v>
      </c>
      <c r="C35" s="16">
        <f>SUM(COUNTIF('Season 5'!A:AAO, TRIM(A35)), COUNTIF('Season 5'!A:AAO, TRIM(A35) &amp; " (Defending)"), COUNTIF('Season 5'!A:AAO, TRIM(A35) &amp; " (PL)"), COUNTIF('Season 5'!A:AAO, TRIM(A35) &amp; " (PL) (Defending)"))</f>
        <v>15</v>
      </c>
    </row>
    <row r="36" spans="1:3">
      <c r="A36" s="51" t="s">
        <v>67</v>
      </c>
      <c r="B36" s="15">
        <f>COUNTIF('Season 5'!A:CF,  CONCATENATE(TRIM(A36), " ","-"," ","W*"))</f>
        <v>7</v>
      </c>
      <c r="C36" s="16">
        <f>SUM(COUNTIF('Season 5'!A:AAO, TRIM(A36)), COUNTIF('Season 5'!A:AAO, TRIM(A36) &amp; " (Defending)"), COUNTIF('Season 5'!A:AAO, TRIM(A36) &amp; " (PL)"), COUNTIF('Season 5'!A:AAO, TRIM(A36) &amp; " (PL) (Defending)"))</f>
        <v>24</v>
      </c>
    </row>
    <row r="37" spans="1:3">
      <c r="A37" s="51" t="s">
        <v>40</v>
      </c>
      <c r="B37" s="15">
        <f>COUNTIF('Season 5'!A:CF,  CONCATENATE(TRIM(A37), " ","-"," ","W*"))</f>
        <v>6</v>
      </c>
      <c r="C37" s="16">
        <f>SUM(COUNTIF('Season 5'!A:AAO, TRIM(A37)), COUNTIF('Season 5'!A:AAO, TRIM(A37) &amp; " (Defending)"), COUNTIF('Season 5'!A:AAO, TRIM(A37) &amp; " (PL)"), COUNTIF('Season 5'!A:AAO, TRIM(A37) &amp; " (PL) (Defending)"))</f>
        <v>20</v>
      </c>
    </row>
    <row r="38" spans="1:3">
      <c r="A38" s="51" t="s">
        <v>59</v>
      </c>
      <c r="B38" s="15">
        <f>COUNTIF('Season 5'!A:CF,  CONCATENATE(TRIM(A38), " ","-"," ","W*"))</f>
        <v>4</v>
      </c>
      <c r="C38" s="16">
        <f>SUM(COUNTIF('Season 5'!A:AAO, TRIM(A38)), COUNTIF('Season 5'!A:AAO, TRIM(A38) &amp; " (Defending)"), COUNTIF('Season 5'!A:AAO, TRIM(A38) &amp; " (PL)"), COUNTIF('Season 5'!A:AAO, TRIM(A38) &amp; " (PL) (Defending)"))</f>
        <v>26</v>
      </c>
    </row>
    <row r="121" spans="1:3">
      <c r="A121" t="s">
        <v>446</v>
      </c>
      <c r="B121">
        <v>0</v>
      </c>
      <c r="C121">
        <v>0</v>
      </c>
    </row>
    <row r="122" spans="1:3">
      <c r="A122" t="s">
        <v>445</v>
      </c>
      <c r="B122">
        <v>0</v>
      </c>
      <c r="C122">
        <v>0</v>
      </c>
    </row>
    <row r="123" spans="1:3">
      <c r="A123" t="s">
        <v>2</v>
      </c>
      <c r="B123">
        <v>0</v>
      </c>
      <c r="C123">
        <v>0</v>
      </c>
    </row>
    <row r="124" spans="1:3">
      <c r="A124" t="s">
        <v>4</v>
      </c>
      <c r="B124">
        <v>0</v>
      </c>
      <c r="C124">
        <v>0</v>
      </c>
    </row>
    <row r="125" spans="1:3">
      <c r="A125" t="s">
        <v>8</v>
      </c>
      <c r="B125">
        <v>0</v>
      </c>
      <c r="C125">
        <v>0</v>
      </c>
    </row>
    <row r="126" spans="1:3">
      <c r="A126" t="s">
        <v>76</v>
      </c>
      <c r="B126">
        <v>0</v>
      </c>
      <c r="C126">
        <v>0</v>
      </c>
    </row>
    <row r="127" spans="1:3">
      <c r="A127" t="s">
        <v>10</v>
      </c>
      <c r="B127">
        <v>0</v>
      </c>
      <c r="C127">
        <v>0</v>
      </c>
    </row>
    <row r="128" spans="1:3">
      <c r="A128" t="s">
        <v>12</v>
      </c>
      <c r="B128">
        <v>0</v>
      </c>
      <c r="C128">
        <v>0</v>
      </c>
    </row>
    <row r="129" spans="1:3">
      <c r="A129" t="s">
        <v>16</v>
      </c>
      <c r="B129">
        <v>0</v>
      </c>
      <c r="C129">
        <v>0</v>
      </c>
    </row>
    <row r="130" spans="1:3">
      <c r="A130" t="s">
        <v>6</v>
      </c>
      <c r="B130">
        <v>0</v>
      </c>
      <c r="C130">
        <v>0</v>
      </c>
    </row>
    <row r="131" spans="1:3">
      <c r="A131" t="s">
        <v>542</v>
      </c>
      <c r="B131">
        <v>0</v>
      </c>
      <c r="C131">
        <v>0</v>
      </c>
    </row>
    <row r="132" spans="1:3">
      <c r="A132" t="s">
        <v>14</v>
      </c>
      <c r="B132">
        <v>0</v>
      </c>
      <c r="C132">
        <v>0</v>
      </c>
    </row>
    <row r="133" spans="1:3">
      <c r="A133" t="s">
        <v>19</v>
      </c>
      <c r="B133">
        <v>0</v>
      </c>
      <c r="C133">
        <v>0</v>
      </c>
    </row>
    <row r="134" spans="1:3">
      <c r="A134" t="s">
        <v>291</v>
      </c>
      <c r="B134">
        <v>0</v>
      </c>
      <c r="C134">
        <v>0</v>
      </c>
    </row>
    <row r="135" spans="1:3">
      <c r="A135" t="s">
        <v>20</v>
      </c>
      <c r="B135">
        <v>0</v>
      </c>
      <c r="C135">
        <v>0</v>
      </c>
    </row>
    <row r="136" spans="1:3">
      <c r="A136" t="s">
        <v>22</v>
      </c>
      <c r="B136">
        <v>0</v>
      </c>
      <c r="C136">
        <v>0</v>
      </c>
    </row>
    <row r="137" spans="1:3">
      <c r="A137" t="s">
        <v>386</v>
      </c>
      <c r="B137">
        <v>0</v>
      </c>
      <c r="C137">
        <v>0</v>
      </c>
    </row>
    <row r="138" spans="1:3">
      <c r="A138" t="s">
        <v>3</v>
      </c>
      <c r="B138">
        <v>0</v>
      </c>
      <c r="C138">
        <v>0</v>
      </c>
    </row>
    <row r="139" spans="1:3">
      <c r="A139" t="s">
        <v>9</v>
      </c>
      <c r="B139">
        <v>0</v>
      </c>
      <c r="C139">
        <v>0</v>
      </c>
    </row>
    <row r="140" spans="1:3">
      <c r="A140" t="s">
        <v>290</v>
      </c>
      <c r="B140">
        <v>0</v>
      </c>
      <c r="C140">
        <v>0</v>
      </c>
    </row>
    <row r="141" spans="1:3">
      <c r="A141" t="s">
        <v>13</v>
      </c>
      <c r="B141">
        <v>0</v>
      </c>
      <c r="C141">
        <v>0</v>
      </c>
    </row>
    <row r="142" spans="1:3">
      <c r="A142" t="s">
        <v>77</v>
      </c>
      <c r="B142">
        <v>0</v>
      </c>
      <c r="C142">
        <v>0</v>
      </c>
    </row>
    <row r="143" spans="1:3">
      <c r="A143" t="s">
        <v>17</v>
      </c>
      <c r="B143">
        <v>0</v>
      </c>
      <c r="C143">
        <v>0</v>
      </c>
    </row>
    <row r="144" spans="1:3">
      <c r="A144" t="s">
        <v>15</v>
      </c>
      <c r="B144">
        <v>0</v>
      </c>
      <c r="C144">
        <v>0</v>
      </c>
    </row>
    <row r="145" spans="1:3">
      <c r="A145" t="s">
        <v>326</v>
      </c>
      <c r="B145">
        <v>0</v>
      </c>
      <c r="C145">
        <v>0</v>
      </c>
    </row>
    <row r="146" spans="1:3">
      <c r="A146" t="s">
        <v>21</v>
      </c>
      <c r="B146">
        <v>0</v>
      </c>
      <c r="C146">
        <v>0</v>
      </c>
    </row>
    <row r="147" spans="1:3">
      <c r="A147" t="s">
        <v>1</v>
      </c>
      <c r="B147">
        <v>0</v>
      </c>
      <c r="C147">
        <v>0</v>
      </c>
    </row>
    <row r="148" spans="1:3">
      <c r="A148" t="s">
        <v>5</v>
      </c>
      <c r="B148">
        <v>0</v>
      </c>
      <c r="C148">
        <v>0</v>
      </c>
    </row>
    <row r="149" spans="1:3">
      <c r="A149" t="s">
        <v>7</v>
      </c>
      <c r="B149">
        <v>0</v>
      </c>
      <c r="C149">
        <v>0</v>
      </c>
    </row>
    <row r="150" spans="1:3">
      <c r="A150" t="s">
        <v>11</v>
      </c>
      <c r="B150">
        <v>0</v>
      </c>
      <c r="C150">
        <v>0</v>
      </c>
    </row>
    <row r="151" spans="1:3">
      <c r="A151" t="s">
        <v>78</v>
      </c>
      <c r="B151">
        <v>0</v>
      </c>
      <c r="C151">
        <v>0</v>
      </c>
    </row>
    <row r="152" spans="1:3">
      <c r="A152" t="s">
        <v>18</v>
      </c>
      <c r="B152">
        <v>0</v>
      </c>
      <c r="C152">
        <v>0</v>
      </c>
    </row>
    <row r="153" spans="1:3">
      <c r="A153" t="s">
        <v>23</v>
      </c>
      <c r="B153">
        <v>0</v>
      </c>
      <c r="C153">
        <v>0</v>
      </c>
    </row>
    <row r="154" spans="1:3">
      <c r="A154" t="s">
        <v>531</v>
      </c>
      <c r="B154">
        <v>0</v>
      </c>
      <c r="C154">
        <v>0</v>
      </c>
    </row>
    <row r="155" spans="1:3">
      <c r="A155" t="s">
        <v>532</v>
      </c>
      <c r="B155">
        <v>0</v>
      </c>
      <c r="C155">
        <v>0</v>
      </c>
    </row>
    <row r="156" spans="1:3">
      <c r="A156" t="s">
        <v>533</v>
      </c>
      <c r="B156">
        <v>0</v>
      </c>
      <c r="C156">
        <v>0</v>
      </c>
    </row>
    <row r="157" spans="1:3">
      <c r="A157" t="s">
        <v>721</v>
      </c>
      <c r="B157">
        <v>0</v>
      </c>
      <c r="C157">
        <v>0</v>
      </c>
    </row>
    <row r="158" spans="1:3">
      <c r="A158" t="s">
        <v>722</v>
      </c>
      <c r="B158">
        <v>0</v>
      </c>
      <c r="C158">
        <v>0</v>
      </c>
    </row>
    <row r="286" spans="1:3">
      <c r="A286" t="s">
        <v>791</v>
      </c>
      <c r="B286">
        <v>0</v>
      </c>
      <c r="C286">
        <v>0</v>
      </c>
    </row>
    <row r="287" spans="1:3">
      <c r="A287" t="s">
        <v>2</v>
      </c>
      <c r="B287">
        <v>0</v>
      </c>
      <c r="C287">
        <v>0</v>
      </c>
    </row>
    <row r="288" spans="1:3">
      <c r="A288" t="s">
        <v>4</v>
      </c>
      <c r="B288">
        <v>0</v>
      </c>
      <c r="C288">
        <v>0</v>
      </c>
    </row>
    <row r="289" spans="1:3">
      <c r="A289" t="s">
        <v>8</v>
      </c>
      <c r="B289">
        <v>0</v>
      </c>
      <c r="C289">
        <v>0</v>
      </c>
    </row>
    <row r="290" spans="1:3">
      <c r="A290" t="s">
        <v>76</v>
      </c>
      <c r="B290">
        <v>0</v>
      </c>
      <c r="C290">
        <v>0</v>
      </c>
    </row>
    <row r="291" spans="1:3">
      <c r="A291" t="s">
        <v>10</v>
      </c>
      <c r="B291">
        <v>0</v>
      </c>
      <c r="C291">
        <v>0</v>
      </c>
    </row>
    <row r="292" spans="1:3">
      <c r="A292" t="s">
        <v>12</v>
      </c>
      <c r="B292">
        <v>0</v>
      </c>
      <c r="C292">
        <v>0</v>
      </c>
    </row>
    <row r="293" spans="1:3">
      <c r="A293" t="s">
        <v>16</v>
      </c>
      <c r="B293">
        <v>0</v>
      </c>
      <c r="C293">
        <v>0</v>
      </c>
    </row>
    <row r="294" spans="1:3">
      <c r="A294" t="s">
        <v>6</v>
      </c>
      <c r="B294">
        <v>0</v>
      </c>
      <c r="C294">
        <v>0</v>
      </c>
    </row>
    <row r="295" spans="1:3">
      <c r="A295" t="s">
        <v>387</v>
      </c>
      <c r="B295">
        <v>0</v>
      </c>
      <c r="C295">
        <v>0</v>
      </c>
    </row>
    <row r="296" spans="1:3">
      <c r="A296" t="s">
        <v>14</v>
      </c>
      <c r="B296">
        <v>0</v>
      </c>
      <c r="C296">
        <v>0</v>
      </c>
    </row>
    <row r="297" spans="1:3">
      <c r="A297" t="s">
        <v>19</v>
      </c>
      <c r="B297">
        <v>0</v>
      </c>
      <c r="C297">
        <v>0</v>
      </c>
    </row>
    <row r="298" spans="1:3">
      <c r="A298" t="s">
        <v>291</v>
      </c>
      <c r="B298">
        <v>0</v>
      </c>
      <c r="C298">
        <v>0</v>
      </c>
    </row>
    <row r="299" spans="1:3">
      <c r="A299" t="s">
        <v>20</v>
      </c>
      <c r="B299">
        <v>0</v>
      </c>
      <c r="C299">
        <v>0</v>
      </c>
    </row>
    <row r="300" spans="1:3">
      <c r="A300" t="s">
        <v>22</v>
      </c>
      <c r="B300">
        <v>0</v>
      </c>
      <c r="C300">
        <v>0</v>
      </c>
    </row>
    <row r="301" spans="1:3">
      <c r="A301" t="s">
        <v>386</v>
      </c>
      <c r="B301">
        <v>0</v>
      </c>
      <c r="C301">
        <v>0</v>
      </c>
    </row>
    <row r="302" spans="1:3">
      <c r="A302" t="s">
        <v>3</v>
      </c>
      <c r="B302">
        <v>0</v>
      </c>
      <c r="C302">
        <v>0</v>
      </c>
    </row>
    <row r="303" spans="1:3">
      <c r="A303" t="s">
        <v>9</v>
      </c>
      <c r="B303">
        <v>0</v>
      </c>
      <c r="C303">
        <v>0</v>
      </c>
    </row>
    <row r="304" spans="1:3">
      <c r="A304" t="s">
        <v>290</v>
      </c>
      <c r="B304">
        <v>0</v>
      </c>
      <c r="C304">
        <v>0</v>
      </c>
    </row>
    <row r="305" spans="1:3">
      <c r="A305" t="s">
        <v>13</v>
      </c>
      <c r="B305">
        <v>0</v>
      </c>
      <c r="C305">
        <v>0</v>
      </c>
    </row>
    <row r="306" spans="1:3">
      <c r="A306" t="s">
        <v>77</v>
      </c>
      <c r="B306">
        <v>0</v>
      </c>
      <c r="C306">
        <v>0</v>
      </c>
    </row>
    <row r="307" spans="1:3">
      <c r="A307" t="s">
        <v>17</v>
      </c>
      <c r="B307">
        <v>0</v>
      </c>
      <c r="C307">
        <v>0</v>
      </c>
    </row>
    <row r="308" spans="1:3">
      <c r="A308" t="s">
        <v>15</v>
      </c>
      <c r="B308">
        <v>0</v>
      </c>
      <c r="C308">
        <v>0</v>
      </c>
    </row>
    <row r="309" spans="1:3">
      <c r="A309" t="s">
        <v>326</v>
      </c>
      <c r="B309">
        <v>0</v>
      </c>
      <c r="C309">
        <v>0</v>
      </c>
    </row>
    <row r="310" spans="1:3">
      <c r="A310" t="s">
        <v>21</v>
      </c>
      <c r="B310">
        <v>0</v>
      </c>
      <c r="C310">
        <v>0</v>
      </c>
    </row>
    <row r="311" spans="1:3">
      <c r="A311" t="s">
        <v>1</v>
      </c>
      <c r="B311">
        <v>0</v>
      </c>
      <c r="C311">
        <v>0</v>
      </c>
    </row>
    <row r="312" spans="1:3">
      <c r="A312" t="s">
        <v>5</v>
      </c>
      <c r="B312">
        <v>0</v>
      </c>
      <c r="C312">
        <v>0</v>
      </c>
    </row>
    <row r="313" spans="1:3">
      <c r="A313" t="s">
        <v>7</v>
      </c>
      <c r="B313">
        <v>0</v>
      </c>
      <c r="C313">
        <v>0</v>
      </c>
    </row>
    <row r="314" spans="1:3">
      <c r="A314" t="s">
        <v>11</v>
      </c>
      <c r="B314">
        <v>0</v>
      </c>
      <c r="C314">
        <v>0</v>
      </c>
    </row>
    <row r="315" spans="1:3">
      <c r="A315" t="s">
        <v>78</v>
      </c>
      <c r="B315">
        <v>0</v>
      </c>
      <c r="C315">
        <v>0</v>
      </c>
    </row>
    <row r="316" spans="1:3">
      <c r="A316" t="s">
        <v>18</v>
      </c>
      <c r="B316">
        <v>0</v>
      </c>
      <c r="C316">
        <v>0</v>
      </c>
    </row>
    <row r="317" spans="1:3">
      <c r="A317" t="s">
        <v>23</v>
      </c>
      <c r="B317">
        <v>0</v>
      </c>
      <c r="C317">
        <v>0</v>
      </c>
    </row>
  </sheetData>
  <pageMargins left="0.7" right="0.7" top="0.75" bottom="0.75" header="0.3" footer="0.3"/>
  <pageSetup orientation="portrait" horizontalDpi="0" verticalDpi="0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51"/>
  <sheetViews>
    <sheetView workbookViewId="0">
      <selection activeCell="A251" sqref="A251:C251"/>
    </sheetView>
  </sheetViews>
  <sheetFormatPr defaultColWidth="11" defaultRowHeight="15.75"/>
  <cols>
    <col min="1" max="1" width="17.3125" bestFit="1" customWidth="1"/>
    <col min="2" max="2" width="5.5" bestFit="1" customWidth="1"/>
    <col min="3" max="3" width="4.5" bestFit="1" customWidth="1"/>
    <col min="5" max="5" width="16.8125" bestFit="1" customWidth="1"/>
    <col min="6" max="6" width="5.5" bestFit="1" customWidth="1"/>
    <col min="7" max="7" width="4.6875" bestFit="1" customWidth="1"/>
  </cols>
  <sheetData>
    <row r="1" spans="1:3">
      <c r="A1" t="s">
        <v>86</v>
      </c>
      <c r="B1" s="67" t="s">
        <v>79</v>
      </c>
      <c r="C1" s="68" t="s">
        <v>80</v>
      </c>
    </row>
    <row r="2" spans="1:3">
      <c r="A2" t="s">
        <v>37</v>
      </c>
      <c r="B2" s="69">
        <v>27</v>
      </c>
      <c r="C2" s="50">
        <v>8</v>
      </c>
    </row>
    <row r="3" spans="1:3">
      <c r="A3" t="s">
        <v>49</v>
      </c>
      <c r="B3" s="69">
        <v>22</v>
      </c>
      <c r="C3" s="50">
        <v>12</v>
      </c>
    </row>
    <row r="4" spans="1:3">
      <c r="A4" t="s">
        <v>38</v>
      </c>
      <c r="B4" s="69">
        <v>20</v>
      </c>
      <c r="C4" s="50">
        <v>8</v>
      </c>
    </row>
    <row r="5" spans="1:3">
      <c r="A5" t="s">
        <v>36</v>
      </c>
      <c r="B5" s="69">
        <v>19</v>
      </c>
      <c r="C5" s="50">
        <v>17</v>
      </c>
    </row>
    <row r="6" spans="1:3">
      <c r="A6" t="s">
        <v>41</v>
      </c>
      <c r="B6" s="69">
        <v>19</v>
      </c>
      <c r="C6" s="50">
        <v>9</v>
      </c>
    </row>
    <row r="7" spans="1:3">
      <c r="A7" t="s">
        <v>42</v>
      </c>
      <c r="B7" s="69">
        <v>19</v>
      </c>
      <c r="C7" s="50">
        <v>11</v>
      </c>
    </row>
    <row r="8" spans="1:3">
      <c r="A8" t="s">
        <v>51</v>
      </c>
      <c r="B8" s="69">
        <v>19</v>
      </c>
      <c r="C8" s="50">
        <v>21</v>
      </c>
    </row>
    <row r="9" spans="1:3">
      <c r="A9" t="s">
        <v>47</v>
      </c>
      <c r="B9" s="69">
        <v>17</v>
      </c>
      <c r="C9" s="50">
        <v>8</v>
      </c>
    </row>
    <row r="10" spans="1:3">
      <c r="A10" t="s">
        <v>45</v>
      </c>
      <c r="B10" s="69">
        <v>16</v>
      </c>
      <c r="C10" s="50">
        <v>18</v>
      </c>
    </row>
    <row r="11" spans="1:3">
      <c r="A11" t="s">
        <v>82</v>
      </c>
      <c r="B11" s="69">
        <v>15</v>
      </c>
      <c r="C11" s="50">
        <v>20</v>
      </c>
    </row>
    <row r="12" spans="1:3">
      <c r="A12" t="s">
        <v>39</v>
      </c>
      <c r="B12" s="69">
        <v>15</v>
      </c>
      <c r="C12" s="50">
        <v>19</v>
      </c>
    </row>
    <row r="13" spans="1:3">
      <c r="A13" t="s">
        <v>52</v>
      </c>
      <c r="B13" s="69">
        <v>9</v>
      </c>
      <c r="C13" s="50">
        <v>21</v>
      </c>
    </row>
    <row r="14" spans="1:3">
      <c r="A14" t="s">
        <v>43</v>
      </c>
      <c r="B14" s="69">
        <v>8</v>
      </c>
      <c r="C14" s="50">
        <v>21</v>
      </c>
    </row>
    <row r="15" spans="1:3">
      <c r="A15" t="s">
        <v>50</v>
      </c>
      <c r="B15" s="69">
        <v>8</v>
      </c>
      <c r="C15" s="50">
        <v>17</v>
      </c>
    </row>
    <row r="16" spans="1:3">
      <c r="A16" t="s">
        <v>40</v>
      </c>
      <c r="B16" s="69">
        <v>7</v>
      </c>
      <c r="C16" s="50">
        <v>19</v>
      </c>
    </row>
    <row r="17" spans="1:3">
      <c r="A17" t="s">
        <v>46</v>
      </c>
      <c r="B17" s="69">
        <v>6</v>
      </c>
      <c r="C17" s="50">
        <v>23</v>
      </c>
    </row>
    <row r="18" spans="1:3">
      <c r="A18" t="s">
        <v>48</v>
      </c>
      <c r="B18" s="69">
        <v>5</v>
      </c>
      <c r="C18" s="50">
        <v>18</v>
      </c>
    </row>
    <row r="19" spans="1:3">
      <c r="A19" t="s">
        <v>44</v>
      </c>
      <c r="B19" s="69">
        <v>1</v>
      </c>
      <c r="C19" s="50">
        <v>21</v>
      </c>
    </row>
    <row r="21" spans="1:3">
      <c r="A21" t="s">
        <v>85</v>
      </c>
      <c r="B21" s="67" t="s">
        <v>79</v>
      </c>
      <c r="C21" s="68" t="s">
        <v>80</v>
      </c>
    </row>
    <row r="22" spans="1:3">
      <c r="A22" t="s">
        <v>63</v>
      </c>
      <c r="B22" s="69">
        <v>24</v>
      </c>
      <c r="C22" s="50">
        <v>16</v>
      </c>
    </row>
    <row r="23" spans="1:3">
      <c r="A23" t="s">
        <v>55</v>
      </c>
      <c r="B23" s="69">
        <v>21</v>
      </c>
      <c r="C23" s="50">
        <v>18</v>
      </c>
    </row>
    <row r="24" spans="1:3">
      <c r="A24" t="s">
        <v>56</v>
      </c>
      <c r="B24" s="69">
        <v>21</v>
      </c>
      <c r="C24" s="50">
        <v>4</v>
      </c>
    </row>
    <row r="25" spans="1:3">
      <c r="A25" t="s">
        <v>58</v>
      </c>
      <c r="B25" s="69">
        <v>20</v>
      </c>
      <c r="C25" s="50">
        <v>10</v>
      </c>
    </row>
    <row r="26" spans="1:3">
      <c r="A26" t="s">
        <v>84</v>
      </c>
      <c r="B26" s="69">
        <v>20</v>
      </c>
      <c r="C26" s="50">
        <v>12</v>
      </c>
    </row>
    <row r="27" spans="1:3">
      <c r="A27" t="s">
        <v>61</v>
      </c>
      <c r="B27" s="69">
        <v>20</v>
      </c>
      <c r="C27" s="50">
        <v>12</v>
      </c>
    </row>
    <row r="28" spans="1:3">
      <c r="A28" t="s">
        <v>54</v>
      </c>
      <c r="B28" s="69">
        <v>19</v>
      </c>
      <c r="C28" s="50">
        <v>14</v>
      </c>
    </row>
    <row r="29" spans="1:3">
      <c r="A29" t="s">
        <v>65</v>
      </c>
      <c r="B29" s="69">
        <v>19</v>
      </c>
      <c r="C29" s="50">
        <v>17</v>
      </c>
    </row>
    <row r="30" spans="1:3">
      <c r="A30" t="s">
        <v>60</v>
      </c>
      <c r="B30" s="69">
        <v>17</v>
      </c>
      <c r="C30" s="50">
        <v>9</v>
      </c>
    </row>
    <row r="31" spans="1:3">
      <c r="A31" t="s">
        <v>53</v>
      </c>
      <c r="B31" s="69">
        <v>16</v>
      </c>
      <c r="C31" s="50">
        <v>16</v>
      </c>
    </row>
    <row r="32" spans="1:3">
      <c r="A32" t="s">
        <v>24</v>
      </c>
      <c r="B32" s="69">
        <v>14</v>
      </c>
      <c r="C32" s="50">
        <v>24</v>
      </c>
    </row>
    <row r="33" spans="1:3">
      <c r="A33" t="s">
        <v>64</v>
      </c>
      <c r="B33" s="69">
        <v>14</v>
      </c>
      <c r="C33" s="50">
        <v>14</v>
      </c>
    </row>
    <row r="34" spans="1:3">
      <c r="A34" t="s">
        <v>59</v>
      </c>
      <c r="B34" s="69">
        <v>13</v>
      </c>
      <c r="C34" s="50">
        <v>17</v>
      </c>
    </row>
    <row r="35" spans="1:3">
      <c r="A35" t="s">
        <v>66</v>
      </c>
      <c r="B35" s="69">
        <v>11</v>
      </c>
      <c r="C35" s="50">
        <v>17</v>
      </c>
    </row>
    <row r="36" spans="1:3">
      <c r="A36" t="s">
        <v>57</v>
      </c>
      <c r="B36" s="69">
        <v>8</v>
      </c>
      <c r="C36" s="50">
        <v>18</v>
      </c>
    </row>
    <row r="37" spans="1:3">
      <c r="A37" t="s">
        <v>62</v>
      </c>
      <c r="B37" s="69">
        <v>5</v>
      </c>
      <c r="C37" s="50">
        <v>21</v>
      </c>
    </row>
    <row r="38" spans="1:3">
      <c r="A38" t="s">
        <v>67</v>
      </c>
      <c r="B38" s="69">
        <v>2</v>
      </c>
      <c r="C38" s="50">
        <v>27</v>
      </c>
    </row>
    <row r="213" spans="1:3">
      <c r="A213" t="s">
        <v>446</v>
      </c>
      <c r="B213">
        <v>0</v>
      </c>
      <c r="C213">
        <v>0</v>
      </c>
    </row>
    <row r="214" spans="1:3">
      <c r="A214" t="s">
        <v>445</v>
      </c>
      <c r="B214">
        <v>0</v>
      </c>
      <c r="C214">
        <v>0</v>
      </c>
    </row>
    <row r="215" spans="1:3">
      <c r="A215" t="s">
        <v>2</v>
      </c>
      <c r="B215">
        <v>0</v>
      </c>
      <c r="C215">
        <v>0</v>
      </c>
    </row>
    <row r="216" spans="1:3">
      <c r="A216" t="s">
        <v>4</v>
      </c>
      <c r="B216">
        <v>0</v>
      </c>
      <c r="C216">
        <v>0</v>
      </c>
    </row>
    <row r="217" spans="1:3">
      <c r="A217" t="s">
        <v>8</v>
      </c>
      <c r="B217">
        <v>0</v>
      </c>
      <c r="C217">
        <v>0</v>
      </c>
    </row>
    <row r="218" spans="1:3">
      <c r="A218" t="s">
        <v>76</v>
      </c>
      <c r="B218">
        <v>0</v>
      </c>
      <c r="C218">
        <v>0</v>
      </c>
    </row>
    <row r="219" spans="1:3">
      <c r="A219" t="s">
        <v>10</v>
      </c>
      <c r="B219">
        <v>0</v>
      </c>
      <c r="C219">
        <v>0</v>
      </c>
    </row>
    <row r="220" spans="1:3">
      <c r="A220" t="s">
        <v>12</v>
      </c>
      <c r="B220">
        <v>0</v>
      </c>
      <c r="C220">
        <v>0</v>
      </c>
    </row>
    <row r="221" spans="1:3">
      <c r="A221" t="s">
        <v>16</v>
      </c>
      <c r="B221">
        <v>0</v>
      </c>
      <c r="C221">
        <v>0</v>
      </c>
    </row>
    <row r="222" spans="1:3">
      <c r="A222" t="s">
        <v>6</v>
      </c>
      <c r="B222">
        <v>0</v>
      </c>
      <c r="C222">
        <v>0</v>
      </c>
    </row>
    <row r="223" spans="1:3">
      <c r="A223" t="s">
        <v>542</v>
      </c>
      <c r="B223">
        <v>0</v>
      </c>
      <c r="C223">
        <v>0</v>
      </c>
    </row>
    <row r="224" spans="1:3">
      <c r="A224" t="s">
        <v>14</v>
      </c>
      <c r="B224">
        <v>0</v>
      </c>
      <c r="C224">
        <v>0</v>
      </c>
    </row>
    <row r="225" spans="1:3">
      <c r="A225" t="s">
        <v>19</v>
      </c>
      <c r="B225">
        <v>0</v>
      </c>
      <c r="C225">
        <v>0</v>
      </c>
    </row>
    <row r="226" spans="1:3">
      <c r="A226" t="s">
        <v>291</v>
      </c>
      <c r="B226">
        <v>0</v>
      </c>
      <c r="C226">
        <v>0</v>
      </c>
    </row>
    <row r="227" spans="1:3">
      <c r="A227" t="s">
        <v>20</v>
      </c>
      <c r="B227">
        <v>0</v>
      </c>
      <c r="C227">
        <v>0</v>
      </c>
    </row>
    <row r="228" spans="1:3">
      <c r="A228" t="s">
        <v>22</v>
      </c>
      <c r="B228">
        <v>0</v>
      </c>
      <c r="C228">
        <v>0</v>
      </c>
    </row>
    <row r="229" spans="1:3">
      <c r="A229" t="s">
        <v>386</v>
      </c>
      <c r="B229">
        <v>0</v>
      </c>
      <c r="C229">
        <v>0</v>
      </c>
    </row>
    <row r="230" spans="1:3">
      <c r="A230" t="s">
        <v>3</v>
      </c>
      <c r="B230">
        <v>0</v>
      </c>
      <c r="C230">
        <v>0</v>
      </c>
    </row>
    <row r="231" spans="1:3">
      <c r="A231" t="s">
        <v>9</v>
      </c>
      <c r="B231">
        <v>0</v>
      </c>
      <c r="C231">
        <v>0</v>
      </c>
    </row>
    <row r="232" spans="1:3">
      <c r="A232" t="s">
        <v>290</v>
      </c>
      <c r="B232">
        <v>0</v>
      </c>
      <c r="C232">
        <v>0</v>
      </c>
    </row>
    <row r="233" spans="1:3">
      <c r="A233" t="s">
        <v>13</v>
      </c>
      <c r="B233">
        <v>0</v>
      </c>
      <c r="C233">
        <v>0</v>
      </c>
    </row>
    <row r="234" spans="1:3">
      <c r="A234" t="s">
        <v>77</v>
      </c>
      <c r="B234">
        <v>0</v>
      </c>
      <c r="C234">
        <v>0</v>
      </c>
    </row>
    <row r="235" spans="1:3">
      <c r="A235" t="s">
        <v>17</v>
      </c>
      <c r="B235">
        <v>0</v>
      </c>
      <c r="C235">
        <v>0</v>
      </c>
    </row>
    <row r="236" spans="1:3">
      <c r="A236" t="s">
        <v>15</v>
      </c>
      <c r="B236">
        <v>0</v>
      </c>
      <c r="C236">
        <v>0</v>
      </c>
    </row>
    <row r="237" spans="1:3">
      <c r="A237" t="s">
        <v>326</v>
      </c>
      <c r="B237">
        <v>0</v>
      </c>
      <c r="C237">
        <v>0</v>
      </c>
    </row>
    <row r="238" spans="1:3">
      <c r="A238" t="s">
        <v>21</v>
      </c>
      <c r="B238">
        <v>0</v>
      </c>
      <c r="C238">
        <v>0</v>
      </c>
    </row>
    <row r="239" spans="1:3">
      <c r="A239" t="s">
        <v>1</v>
      </c>
      <c r="B239">
        <v>0</v>
      </c>
      <c r="C239">
        <v>0</v>
      </c>
    </row>
    <row r="240" spans="1:3">
      <c r="A240" t="s">
        <v>5</v>
      </c>
      <c r="B240">
        <v>0</v>
      </c>
      <c r="C240">
        <v>0</v>
      </c>
    </row>
    <row r="241" spans="1:3">
      <c r="A241" t="s">
        <v>7</v>
      </c>
      <c r="B241">
        <v>0</v>
      </c>
      <c r="C241">
        <v>0</v>
      </c>
    </row>
    <row r="242" spans="1:3">
      <c r="A242" t="s">
        <v>11</v>
      </c>
      <c r="B242">
        <v>0</v>
      </c>
      <c r="C242">
        <v>0</v>
      </c>
    </row>
    <row r="243" spans="1:3">
      <c r="A243" t="s">
        <v>78</v>
      </c>
      <c r="B243">
        <v>0</v>
      </c>
      <c r="C243">
        <v>0</v>
      </c>
    </row>
    <row r="244" spans="1:3">
      <c r="A244" t="s">
        <v>18</v>
      </c>
      <c r="B244">
        <v>0</v>
      </c>
      <c r="C244">
        <v>0</v>
      </c>
    </row>
    <row r="245" spans="1:3">
      <c r="A245" t="s">
        <v>23</v>
      </c>
      <c r="B245">
        <v>0</v>
      </c>
      <c r="C245">
        <v>0</v>
      </c>
    </row>
    <row r="246" spans="1:3">
      <c r="A246" t="s">
        <v>531</v>
      </c>
      <c r="B246">
        <v>0</v>
      </c>
      <c r="C246">
        <v>0</v>
      </c>
    </row>
    <row r="247" spans="1:3">
      <c r="A247" t="s">
        <v>532</v>
      </c>
      <c r="B247">
        <v>0</v>
      </c>
      <c r="C247">
        <v>0</v>
      </c>
    </row>
    <row r="248" spans="1:3">
      <c r="A248" t="s">
        <v>533</v>
      </c>
      <c r="B248">
        <v>0</v>
      </c>
      <c r="C248">
        <v>0</v>
      </c>
    </row>
    <row r="249" spans="1:3">
      <c r="A249" t="s">
        <v>721</v>
      </c>
      <c r="B249">
        <v>0</v>
      </c>
      <c r="C249">
        <v>0</v>
      </c>
    </row>
    <row r="250" spans="1:3">
      <c r="A250" t="s">
        <v>722</v>
      </c>
      <c r="B250">
        <v>0</v>
      </c>
      <c r="C250">
        <v>0</v>
      </c>
    </row>
    <row r="251" spans="1:3">
      <c r="A251" t="s">
        <v>791</v>
      </c>
      <c r="B251">
        <v>0</v>
      </c>
      <c r="C251">
        <v>0</v>
      </c>
    </row>
  </sheetData>
  <pageMargins left="0.7" right="0.7" top="0.75" bottom="0.75" header="0.3" footer="0.3"/>
  <pageSetup orientation="portrait" horizontalDpi="0" verticalDpi="0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6"/>
  <sheetViews>
    <sheetView workbookViewId="0">
      <selection activeCell="A326" sqref="A326:C326"/>
    </sheetView>
  </sheetViews>
  <sheetFormatPr defaultColWidth="11" defaultRowHeight="15.75"/>
  <cols>
    <col min="1" max="1" width="17.3125" bestFit="1" customWidth="1"/>
    <col min="2" max="2" width="5.5" bestFit="1" customWidth="1"/>
    <col min="3" max="3" width="4.5" bestFit="1" customWidth="1"/>
    <col min="5" max="5" width="17.3125" bestFit="1" customWidth="1"/>
    <col min="6" max="6" width="5.5" bestFit="1" customWidth="1"/>
    <col min="7" max="7" width="4.5" bestFit="1" customWidth="1"/>
  </cols>
  <sheetData>
    <row r="1" spans="1:3">
      <c r="A1" t="s">
        <v>86</v>
      </c>
      <c r="B1" s="67" t="s">
        <v>79</v>
      </c>
      <c r="C1" s="68" t="s">
        <v>80</v>
      </c>
    </row>
    <row r="2" spans="1:3">
      <c r="A2" t="s">
        <v>45</v>
      </c>
      <c r="B2" s="69">
        <v>27</v>
      </c>
      <c r="C2" s="50">
        <v>10</v>
      </c>
    </row>
    <row r="3" spans="1:3">
      <c r="A3" t="s">
        <v>47</v>
      </c>
      <c r="B3" s="69">
        <v>26</v>
      </c>
      <c r="C3" s="50">
        <v>11</v>
      </c>
    </row>
    <row r="4" spans="1:3">
      <c r="A4" t="s">
        <v>53</v>
      </c>
      <c r="B4" s="69">
        <v>24</v>
      </c>
      <c r="C4" s="50">
        <v>22</v>
      </c>
    </row>
    <row r="5" spans="1:3">
      <c r="A5" t="s">
        <v>38</v>
      </c>
      <c r="B5" s="69">
        <v>24</v>
      </c>
      <c r="C5" s="50">
        <v>13</v>
      </c>
    </row>
    <row r="6" spans="1:3">
      <c r="A6" t="s">
        <v>37</v>
      </c>
      <c r="B6" s="69">
        <v>22</v>
      </c>
      <c r="C6" s="50">
        <v>17</v>
      </c>
    </row>
    <row r="7" spans="1:3">
      <c r="A7" t="s">
        <v>61</v>
      </c>
      <c r="B7" s="69">
        <v>22</v>
      </c>
      <c r="C7" s="50">
        <v>13</v>
      </c>
    </row>
    <row r="8" spans="1:3">
      <c r="A8" t="s">
        <v>42</v>
      </c>
      <c r="B8" s="69">
        <v>17</v>
      </c>
      <c r="C8" s="50">
        <v>12</v>
      </c>
    </row>
    <row r="9" spans="1:3">
      <c r="A9" t="s">
        <v>49</v>
      </c>
      <c r="B9" s="69">
        <v>16</v>
      </c>
      <c r="C9" s="50">
        <v>16</v>
      </c>
    </row>
    <row r="10" spans="1:3">
      <c r="A10" t="s">
        <v>36</v>
      </c>
      <c r="B10" s="69">
        <v>15</v>
      </c>
      <c r="C10" s="50">
        <v>23</v>
      </c>
    </row>
    <row r="11" spans="1:3">
      <c r="A11" t="s">
        <v>46</v>
      </c>
      <c r="B11" s="69">
        <v>14</v>
      </c>
      <c r="C11" s="50">
        <v>17</v>
      </c>
    </row>
    <row r="12" spans="1:3">
      <c r="A12" t="s">
        <v>55</v>
      </c>
      <c r="B12" s="69">
        <v>12</v>
      </c>
      <c r="C12" s="50">
        <v>15</v>
      </c>
    </row>
    <row r="13" spans="1:3">
      <c r="A13" t="s">
        <v>39</v>
      </c>
      <c r="B13" s="69">
        <v>11</v>
      </c>
      <c r="C13" s="50">
        <v>14</v>
      </c>
    </row>
    <row r="14" spans="1:3">
      <c r="A14" t="s">
        <v>40</v>
      </c>
      <c r="B14" s="69">
        <v>10</v>
      </c>
      <c r="C14" s="50">
        <v>20</v>
      </c>
    </row>
    <row r="15" spans="1:3">
      <c r="A15" t="s">
        <v>51</v>
      </c>
      <c r="B15" s="69">
        <v>10</v>
      </c>
      <c r="C15" s="50">
        <v>21</v>
      </c>
    </row>
    <row r="16" spans="1:3">
      <c r="A16" t="s">
        <v>59</v>
      </c>
      <c r="B16" s="69">
        <v>9</v>
      </c>
      <c r="C16" s="50">
        <v>19</v>
      </c>
    </row>
    <row r="17" spans="1:3">
      <c r="A17" t="s">
        <v>57</v>
      </c>
      <c r="B17" s="69">
        <v>5</v>
      </c>
      <c r="C17" s="50">
        <v>14</v>
      </c>
    </row>
    <row r="18" spans="1:3">
      <c r="A18" t="s">
        <v>48</v>
      </c>
      <c r="B18" s="69">
        <v>2</v>
      </c>
      <c r="C18" s="50">
        <v>19</v>
      </c>
    </row>
    <row r="20" spans="1:3">
      <c r="A20" t="s">
        <v>85</v>
      </c>
      <c r="B20" s="67" t="s">
        <v>79</v>
      </c>
      <c r="C20" s="68" t="s">
        <v>80</v>
      </c>
    </row>
    <row r="21" spans="1:3">
      <c r="A21" t="s">
        <v>54</v>
      </c>
      <c r="B21" s="69">
        <v>30</v>
      </c>
      <c r="C21" s="50">
        <v>13</v>
      </c>
    </row>
    <row r="22" spans="1:3">
      <c r="A22" t="s">
        <v>56</v>
      </c>
      <c r="B22" s="69">
        <v>22</v>
      </c>
      <c r="C22" s="50">
        <v>10</v>
      </c>
    </row>
    <row r="23" spans="1:3">
      <c r="A23" t="s">
        <v>66</v>
      </c>
      <c r="B23" s="69">
        <v>22</v>
      </c>
      <c r="C23" s="50">
        <v>8</v>
      </c>
    </row>
    <row r="24" spans="1:3">
      <c r="A24" t="s">
        <v>64</v>
      </c>
      <c r="B24" s="69">
        <v>21</v>
      </c>
      <c r="C24" s="50">
        <v>8</v>
      </c>
    </row>
    <row r="25" spans="1:3">
      <c r="A25" t="s">
        <v>50</v>
      </c>
      <c r="B25" s="69">
        <v>19</v>
      </c>
      <c r="C25" s="50">
        <v>11</v>
      </c>
    </row>
    <row r="26" spans="1:3">
      <c r="A26" t="s">
        <v>24</v>
      </c>
      <c r="B26" s="69">
        <v>17</v>
      </c>
      <c r="C26" s="50">
        <v>19</v>
      </c>
    </row>
    <row r="27" spans="1:3">
      <c r="A27" t="s">
        <v>84</v>
      </c>
      <c r="B27" s="69">
        <v>16</v>
      </c>
      <c r="C27" s="50">
        <v>16</v>
      </c>
    </row>
    <row r="28" spans="1:3">
      <c r="A28" t="s">
        <v>52</v>
      </c>
      <c r="B28" s="69">
        <v>14</v>
      </c>
      <c r="C28" s="50">
        <v>14</v>
      </c>
    </row>
    <row r="29" spans="1:3">
      <c r="A29" t="s">
        <v>58</v>
      </c>
      <c r="B29" s="69">
        <v>14</v>
      </c>
      <c r="C29" s="50">
        <v>8</v>
      </c>
    </row>
    <row r="30" spans="1:3">
      <c r="A30" t="s">
        <v>41</v>
      </c>
      <c r="B30" s="69">
        <v>14</v>
      </c>
      <c r="C30" s="50">
        <v>21</v>
      </c>
    </row>
    <row r="31" spans="1:3">
      <c r="A31" t="s">
        <v>60</v>
      </c>
      <c r="B31" s="69">
        <v>14</v>
      </c>
      <c r="C31" s="50">
        <v>20</v>
      </c>
    </row>
    <row r="32" spans="1:3">
      <c r="A32" t="s">
        <v>63</v>
      </c>
      <c r="B32" s="69">
        <v>12</v>
      </c>
      <c r="C32" s="50">
        <v>15</v>
      </c>
    </row>
    <row r="33" spans="1:3">
      <c r="A33" t="s">
        <v>82</v>
      </c>
      <c r="B33" s="69">
        <v>11</v>
      </c>
      <c r="C33" s="50">
        <v>17</v>
      </c>
    </row>
    <row r="34" spans="1:3">
      <c r="A34" t="s">
        <v>67</v>
      </c>
      <c r="B34" s="69">
        <v>9</v>
      </c>
      <c r="C34" s="50">
        <v>19</v>
      </c>
    </row>
    <row r="35" spans="1:3">
      <c r="A35" t="s">
        <v>44</v>
      </c>
      <c r="B35" s="69">
        <v>7</v>
      </c>
      <c r="C35" s="50">
        <v>16</v>
      </c>
    </row>
    <row r="36" spans="1:3">
      <c r="A36" t="s">
        <v>65</v>
      </c>
      <c r="B36" s="69">
        <v>7</v>
      </c>
      <c r="C36" s="50">
        <v>22</v>
      </c>
    </row>
    <row r="37" spans="1:3">
      <c r="A37" t="s">
        <v>43</v>
      </c>
      <c r="B37" s="69">
        <v>4</v>
      </c>
      <c r="C37" s="50">
        <v>27</v>
      </c>
    </row>
    <row r="38" spans="1:3">
      <c r="A38" t="s">
        <v>62</v>
      </c>
      <c r="B38" s="69">
        <v>2</v>
      </c>
      <c r="C38" s="50">
        <v>26</v>
      </c>
    </row>
    <row r="288" spans="1:3">
      <c r="A288" t="s">
        <v>446</v>
      </c>
      <c r="B288">
        <v>0</v>
      </c>
      <c r="C288">
        <v>0</v>
      </c>
    </row>
    <row r="289" spans="1:3">
      <c r="A289" t="s">
        <v>445</v>
      </c>
      <c r="B289">
        <v>0</v>
      </c>
      <c r="C289">
        <v>0</v>
      </c>
    </row>
    <row r="290" spans="1:3">
      <c r="A290" t="s">
        <v>2</v>
      </c>
      <c r="B290">
        <v>0</v>
      </c>
      <c r="C290">
        <v>0</v>
      </c>
    </row>
    <row r="291" spans="1:3">
      <c r="A291" t="s">
        <v>4</v>
      </c>
      <c r="B291">
        <v>0</v>
      </c>
      <c r="C291">
        <v>0</v>
      </c>
    </row>
    <row r="292" spans="1:3">
      <c r="A292" t="s">
        <v>8</v>
      </c>
      <c r="B292">
        <v>0</v>
      </c>
      <c r="C292">
        <v>0</v>
      </c>
    </row>
    <row r="293" spans="1:3">
      <c r="A293" t="s">
        <v>76</v>
      </c>
      <c r="B293">
        <v>0</v>
      </c>
      <c r="C293">
        <v>0</v>
      </c>
    </row>
    <row r="294" spans="1:3">
      <c r="A294" t="s">
        <v>10</v>
      </c>
      <c r="B294">
        <v>0</v>
      </c>
      <c r="C294">
        <v>0</v>
      </c>
    </row>
    <row r="295" spans="1:3">
      <c r="A295" t="s">
        <v>12</v>
      </c>
      <c r="B295">
        <v>0</v>
      </c>
      <c r="C295">
        <v>0</v>
      </c>
    </row>
    <row r="296" spans="1:3">
      <c r="A296" t="s">
        <v>16</v>
      </c>
      <c r="B296">
        <v>0</v>
      </c>
      <c r="C296">
        <v>0</v>
      </c>
    </row>
    <row r="297" spans="1:3">
      <c r="A297" t="s">
        <v>6</v>
      </c>
      <c r="B297">
        <v>0</v>
      </c>
      <c r="C297">
        <v>0</v>
      </c>
    </row>
    <row r="298" spans="1:3">
      <c r="A298" t="s">
        <v>542</v>
      </c>
      <c r="B298">
        <v>0</v>
      </c>
      <c r="C298">
        <v>0</v>
      </c>
    </row>
    <row r="299" spans="1:3">
      <c r="A299" t="s">
        <v>14</v>
      </c>
      <c r="B299">
        <v>0</v>
      </c>
      <c r="C299">
        <v>0</v>
      </c>
    </row>
    <row r="300" spans="1:3">
      <c r="A300" t="s">
        <v>19</v>
      </c>
      <c r="B300">
        <v>0</v>
      </c>
      <c r="C300">
        <v>0</v>
      </c>
    </row>
    <row r="301" spans="1:3">
      <c r="A301" t="s">
        <v>291</v>
      </c>
      <c r="B301">
        <v>0</v>
      </c>
      <c r="C301">
        <v>0</v>
      </c>
    </row>
    <row r="302" spans="1:3">
      <c r="A302" t="s">
        <v>20</v>
      </c>
      <c r="B302">
        <v>0</v>
      </c>
      <c r="C302">
        <v>0</v>
      </c>
    </row>
    <row r="303" spans="1:3">
      <c r="A303" t="s">
        <v>22</v>
      </c>
      <c r="B303">
        <v>0</v>
      </c>
      <c r="C303">
        <v>0</v>
      </c>
    </row>
    <row r="304" spans="1:3">
      <c r="A304" t="s">
        <v>386</v>
      </c>
      <c r="B304">
        <v>0</v>
      </c>
      <c r="C304">
        <v>0</v>
      </c>
    </row>
    <row r="305" spans="1:3">
      <c r="A305" t="s">
        <v>3</v>
      </c>
      <c r="B305">
        <v>0</v>
      </c>
      <c r="C305">
        <v>0</v>
      </c>
    </row>
    <row r="306" spans="1:3">
      <c r="A306" t="s">
        <v>9</v>
      </c>
      <c r="B306">
        <v>0</v>
      </c>
      <c r="C306">
        <v>0</v>
      </c>
    </row>
    <row r="307" spans="1:3">
      <c r="A307" t="s">
        <v>290</v>
      </c>
      <c r="B307">
        <v>0</v>
      </c>
      <c r="C307">
        <v>0</v>
      </c>
    </row>
    <row r="308" spans="1:3">
      <c r="A308" t="s">
        <v>13</v>
      </c>
      <c r="B308">
        <v>0</v>
      </c>
      <c r="C308">
        <v>0</v>
      </c>
    </row>
    <row r="309" spans="1:3">
      <c r="A309" t="s">
        <v>77</v>
      </c>
      <c r="B309">
        <v>0</v>
      </c>
      <c r="C309">
        <v>0</v>
      </c>
    </row>
    <row r="310" spans="1:3">
      <c r="A310" t="s">
        <v>17</v>
      </c>
      <c r="B310">
        <v>0</v>
      </c>
      <c r="C310">
        <v>0</v>
      </c>
    </row>
    <row r="311" spans="1:3">
      <c r="A311" t="s">
        <v>15</v>
      </c>
      <c r="B311">
        <v>0</v>
      </c>
      <c r="C311">
        <v>0</v>
      </c>
    </row>
    <row r="312" spans="1:3">
      <c r="A312" t="s">
        <v>326</v>
      </c>
      <c r="B312">
        <v>0</v>
      </c>
      <c r="C312">
        <v>0</v>
      </c>
    </row>
    <row r="313" spans="1:3">
      <c r="A313" t="s">
        <v>21</v>
      </c>
      <c r="B313">
        <v>0</v>
      </c>
      <c r="C313">
        <v>0</v>
      </c>
    </row>
    <row r="314" spans="1:3">
      <c r="A314" t="s">
        <v>1</v>
      </c>
      <c r="B314">
        <v>0</v>
      </c>
      <c r="C314">
        <v>0</v>
      </c>
    </row>
    <row r="315" spans="1:3">
      <c r="A315" t="s">
        <v>5</v>
      </c>
      <c r="B315">
        <v>0</v>
      </c>
      <c r="C315">
        <v>0</v>
      </c>
    </row>
    <row r="316" spans="1:3">
      <c r="A316" t="s">
        <v>7</v>
      </c>
      <c r="B316">
        <v>0</v>
      </c>
      <c r="C316">
        <v>0</v>
      </c>
    </row>
    <row r="317" spans="1:3">
      <c r="A317" t="s">
        <v>11</v>
      </c>
      <c r="B317">
        <v>0</v>
      </c>
      <c r="C317">
        <v>0</v>
      </c>
    </row>
    <row r="318" spans="1:3">
      <c r="A318" t="s">
        <v>78</v>
      </c>
      <c r="B318">
        <v>0</v>
      </c>
      <c r="C318">
        <v>0</v>
      </c>
    </row>
    <row r="319" spans="1:3">
      <c r="A319" t="s">
        <v>18</v>
      </c>
      <c r="B319">
        <v>0</v>
      </c>
      <c r="C319">
        <v>0</v>
      </c>
    </row>
    <row r="320" spans="1:3">
      <c r="A320" t="s">
        <v>23</v>
      </c>
      <c r="B320">
        <v>0</v>
      </c>
      <c r="C320">
        <v>0</v>
      </c>
    </row>
    <row r="321" spans="1:3">
      <c r="A321" t="s">
        <v>531</v>
      </c>
      <c r="B321">
        <v>0</v>
      </c>
      <c r="C321">
        <v>0</v>
      </c>
    </row>
    <row r="322" spans="1:3">
      <c r="A322" t="s">
        <v>532</v>
      </c>
      <c r="B322">
        <v>0</v>
      </c>
      <c r="C322">
        <v>0</v>
      </c>
    </row>
    <row r="323" spans="1:3">
      <c r="A323" t="s">
        <v>533</v>
      </c>
      <c r="B323">
        <v>0</v>
      </c>
      <c r="C323">
        <v>0</v>
      </c>
    </row>
    <row r="324" spans="1:3">
      <c r="A324" t="s">
        <v>721</v>
      </c>
      <c r="B324">
        <v>0</v>
      </c>
      <c r="C324">
        <v>0</v>
      </c>
    </row>
    <row r="325" spans="1:3">
      <c r="A325" t="s">
        <v>722</v>
      </c>
      <c r="B325">
        <v>0</v>
      </c>
      <c r="C325">
        <v>0</v>
      </c>
    </row>
    <row r="326" spans="1:3">
      <c r="A326" t="s">
        <v>791</v>
      </c>
      <c r="B326">
        <v>0</v>
      </c>
      <c r="C326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59"/>
  <sheetViews>
    <sheetView workbookViewId="0">
      <selection activeCell="A259" sqref="A259:C259"/>
    </sheetView>
  </sheetViews>
  <sheetFormatPr defaultColWidth="11" defaultRowHeight="15.75"/>
  <cols>
    <col min="1" max="1" width="17.3125" bestFit="1" customWidth="1"/>
    <col min="2" max="2" width="5.5" bestFit="1" customWidth="1"/>
    <col min="3" max="3" width="4.5" bestFit="1" customWidth="1"/>
    <col min="5" max="5" width="17.3125" bestFit="1" customWidth="1"/>
    <col min="6" max="6" width="5.5" bestFit="1" customWidth="1"/>
    <col min="7" max="7" width="4.5" bestFit="1" customWidth="1"/>
  </cols>
  <sheetData>
    <row r="1" spans="1:3">
      <c r="A1" t="s">
        <v>86</v>
      </c>
      <c r="B1" s="67" t="s">
        <v>79</v>
      </c>
      <c r="C1" s="68" t="s">
        <v>80</v>
      </c>
    </row>
    <row r="2" spans="1:3">
      <c r="A2" t="s">
        <v>42</v>
      </c>
      <c r="B2" s="69">
        <v>23</v>
      </c>
      <c r="C2" s="50">
        <v>11</v>
      </c>
    </row>
    <row r="3" spans="1:3">
      <c r="A3" t="s">
        <v>46</v>
      </c>
      <c r="B3" s="69">
        <v>23</v>
      </c>
      <c r="C3" s="50">
        <v>13</v>
      </c>
    </row>
    <row r="4" spans="1:3">
      <c r="A4" t="s">
        <v>84</v>
      </c>
      <c r="B4" s="69">
        <v>21</v>
      </c>
      <c r="C4" s="50">
        <v>16</v>
      </c>
    </row>
    <row r="5" spans="1:3">
      <c r="A5" t="s">
        <v>47</v>
      </c>
      <c r="B5" s="69">
        <v>19</v>
      </c>
      <c r="C5" s="50">
        <v>19</v>
      </c>
    </row>
    <row r="6" spans="1:3">
      <c r="A6" t="s">
        <v>53</v>
      </c>
      <c r="B6" s="69">
        <v>18</v>
      </c>
      <c r="C6" s="50">
        <v>15</v>
      </c>
    </row>
    <row r="7" spans="1:3">
      <c r="A7" t="s">
        <v>36</v>
      </c>
      <c r="B7" s="69">
        <v>18</v>
      </c>
      <c r="C7" s="50">
        <v>20</v>
      </c>
    </row>
    <row r="8" spans="1:3">
      <c r="A8" t="s">
        <v>50</v>
      </c>
      <c r="B8" s="69">
        <v>18</v>
      </c>
      <c r="C8" s="50">
        <v>15</v>
      </c>
    </row>
    <row r="9" spans="1:3">
      <c r="A9" t="s">
        <v>37</v>
      </c>
      <c r="B9" s="69">
        <v>17</v>
      </c>
      <c r="C9" s="50">
        <v>20</v>
      </c>
    </row>
    <row r="10" spans="1:3">
      <c r="A10" t="s">
        <v>39</v>
      </c>
      <c r="B10" s="69">
        <v>16</v>
      </c>
      <c r="C10" s="50">
        <v>20</v>
      </c>
    </row>
    <row r="11" spans="1:3">
      <c r="A11" t="s">
        <v>59</v>
      </c>
      <c r="B11" s="69">
        <v>14</v>
      </c>
      <c r="C11" s="50">
        <v>18</v>
      </c>
    </row>
    <row r="12" spans="1:3">
      <c r="A12" t="s">
        <v>65</v>
      </c>
      <c r="B12" s="69">
        <v>14</v>
      </c>
      <c r="C12" s="50">
        <v>14</v>
      </c>
    </row>
    <row r="13" spans="1:3">
      <c r="A13" t="s">
        <v>63</v>
      </c>
      <c r="B13" s="69">
        <v>14</v>
      </c>
      <c r="C13" s="50">
        <v>17</v>
      </c>
    </row>
    <row r="14" spans="1:3">
      <c r="A14" t="s">
        <v>54</v>
      </c>
      <c r="B14" s="69">
        <v>13</v>
      </c>
      <c r="C14" s="50">
        <v>15</v>
      </c>
    </row>
    <row r="15" spans="1:3">
      <c r="A15" t="s">
        <v>67</v>
      </c>
      <c r="B15" s="69">
        <v>9</v>
      </c>
      <c r="C15" s="50">
        <v>22</v>
      </c>
    </row>
    <row r="16" spans="1:3">
      <c r="A16" t="s">
        <v>57</v>
      </c>
      <c r="B16" s="69">
        <v>5</v>
      </c>
      <c r="C16" s="50">
        <v>20</v>
      </c>
    </row>
    <row r="17" spans="1:3">
      <c r="A17" t="s">
        <v>44</v>
      </c>
      <c r="B17" s="69">
        <v>3</v>
      </c>
      <c r="C17" s="50">
        <v>23</v>
      </c>
    </row>
    <row r="18" spans="1:3">
      <c r="A18" t="s">
        <v>48</v>
      </c>
      <c r="B18" s="69">
        <v>3</v>
      </c>
      <c r="C18" s="50">
        <v>20</v>
      </c>
    </row>
    <row r="20" spans="1:3">
      <c r="A20" t="s">
        <v>85</v>
      </c>
      <c r="B20" s="67" t="s">
        <v>79</v>
      </c>
      <c r="C20" s="68" t="s">
        <v>80</v>
      </c>
    </row>
    <row r="21" spans="1:3">
      <c r="A21" t="s">
        <v>64</v>
      </c>
      <c r="B21" s="69">
        <v>24</v>
      </c>
      <c r="C21" s="50">
        <v>12</v>
      </c>
    </row>
    <row r="22" spans="1:3">
      <c r="A22" t="s">
        <v>58</v>
      </c>
      <c r="B22" s="69">
        <v>19</v>
      </c>
      <c r="C22" s="50">
        <v>15</v>
      </c>
    </row>
    <row r="23" spans="1:3">
      <c r="A23" t="s">
        <v>61</v>
      </c>
      <c r="B23" s="69">
        <v>18</v>
      </c>
      <c r="C23" s="50">
        <v>8</v>
      </c>
    </row>
    <row r="24" spans="1:3">
      <c r="A24" t="s">
        <v>38</v>
      </c>
      <c r="B24" s="69">
        <v>17</v>
      </c>
      <c r="C24" s="50">
        <v>7</v>
      </c>
    </row>
    <row r="25" spans="1:3">
      <c r="A25" t="s">
        <v>66</v>
      </c>
      <c r="B25" s="69">
        <v>17</v>
      </c>
      <c r="C25" s="50">
        <v>7</v>
      </c>
    </row>
    <row r="26" spans="1:3">
      <c r="A26" t="s">
        <v>56</v>
      </c>
      <c r="B26" s="69">
        <v>16</v>
      </c>
      <c r="C26" s="50">
        <v>10</v>
      </c>
    </row>
    <row r="27" spans="1:3">
      <c r="A27" t="s">
        <v>49</v>
      </c>
      <c r="B27" s="69">
        <v>16</v>
      </c>
      <c r="C27" s="50">
        <v>16</v>
      </c>
    </row>
    <row r="28" spans="1:3">
      <c r="A28" t="s">
        <v>24</v>
      </c>
      <c r="B28" s="69">
        <v>16</v>
      </c>
      <c r="C28" s="50">
        <v>16</v>
      </c>
    </row>
    <row r="29" spans="1:3">
      <c r="A29" t="s">
        <v>52</v>
      </c>
      <c r="B29" s="69">
        <v>16</v>
      </c>
      <c r="C29" s="50">
        <v>8</v>
      </c>
    </row>
    <row r="30" spans="1:3">
      <c r="A30" t="s">
        <v>55</v>
      </c>
      <c r="B30" s="69">
        <v>15</v>
      </c>
      <c r="C30" s="50">
        <v>11</v>
      </c>
    </row>
    <row r="31" spans="1:3">
      <c r="A31" t="s">
        <v>45</v>
      </c>
      <c r="B31" s="69">
        <v>14</v>
      </c>
      <c r="C31" s="50">
        <v>14</v>
      </c>
    </row>
    <row r="32" spans="1:3">
      <c r="A32" t="s">
        <v>82</v>
      </c>
      <c r="B32" s="69">
        <v>13</v>
      </c>
      <c r="C32" s="50">
        <v>15</v>
      </c>
    </row>
    <row r="33" spans="1:3">
      <c r="A33" t="s">
        <v>51</v>
      </c>
      <c r="B33" s="69">
        <v>10</v>
      </c>
      <c r="C33" s="50">
        <v>21</v>
      </c>
    </row>
    <row r="34" spans="1:3">
      <c r="A34" t="s">
        <v>60</v>
      </c>
      <c r="B34" s="69">
        <v>8</v>
      </c>
      <c r="C34" s="50">
        <v>17</v>
      </c>
    </row>
    <row r="35" spans="1:3">
      <c r="A35" t="s">
        <v>41</v>
      </c>
      <c r="B35" s="69">
        <v>8</v>
      </c>
      <c r="C35" s="50">
        <v>20</v>
      </c>
    </row>
    <row r="36" spans="1:3">
      <c r="A36" t="s">
        <v>62</v>
      </c>
      <c r="B36" s="69">
        <v>8</v>
      </c>
      <c r="C36" s="50">
        <v>19</v>
      </c>
    </row>
    <row r="37" spans="1:3">
      <c r="A37" t="s">
        <v>43</v>
      </c>
      <c r="B37" s="69">
        <v>8</v>
      </c>
      <c r="C37" s="50">
        <v>19</v>
      </c>
    </row>
    <row r="38" spans="1:3">
      <c r="A38" t="s">
        <v>40</v>
      </c>
      <c r="B38" s="69">
        <v>3</v>
      </c>
      <c r="C38" s="50">
        <v>23</v>
      </c>
    </row>
    <row r="221" spans="1:3">
      <c r="A221" t="s">
        <v>446</v>
      </c>
      <c r="B221">
        <v>0</v>
      </c>
      <c r="C221">
        <v>0</v>
      </c>
    </row>
    <row r="222" spans="1:3">
      <c r="A222" t="s">
        <v>445</v>
      </c>
      <c r="B222">
        <v>0</v>
      </c>
      <c r="C222">
        <v>0</v>
      </c>
    </row>
    <row r="223" spans="1:3">
      <c r="A223" t="s">
        <v>2</v>
      </c>
      <c r="B223">
        <v>0</v>
      </c>
      <c r="C223">
        <v>0</v>
      </c>
    </row>
    <row r="224" spans="1:3">
      <c r="A224" t="s">
        <v>4</v>
      </c>
      <c r="B224">
        <v>0</v>
      </c>
      <c r="C224">
        <v>0</v>
      </c>
    </row>
    <row r="225" spans="1:3">
      <c r="A225" t="s">
        <v>8</v>
      </c>
      <c r="B225">
        <v>0</v>
      </c>
      <c r="C225">
        <v>0</v>
      </c>
    </row>
    <row r="226" spans="1:3">
      <c r="A226" t="s">
        <v>76</v>
      </c>
      <c r="B226">
        <v>0</v>
      </c>
      <c r="C226">
        <v>0</v>
      </c>
    </row>
    <row r="227" spans="1:3">
      <c r="A227" t="s">
        <v>10</v>
      </c>
      <c r="B227">
        <v>0</v>
      </c>
      <c r="C227">
        <v>0</v>
      </c>
    </row>
    <row r="228" spans="1:3">
      <c r="A228" t="s">
        <v>12</v>
      </c>
      <c r="B228">
        <v>0</v>
      </c>
      <c r="C228">
        <v>0</v>
      </c>
    </row>
    <row r="229" spans="1:3">
      <c r="A229" t="s">
        <v>16</v>
      </c>
      <c r="B229">
        <v>0</v>
      </c>
      <c r="C229">
        <v>0</v>
      </c>
    </row>
    <row r="230" spans="1:3">
      <c r="A230" t="s">
        <v>6</v>
      </c>
      <c r="B230">
        <v>0</v>
      </c>
      <c r="C230">
        <v>0</v>
      </c>
    </row>
    <row r="231" spans="1:3">
      <c r="A231" t="s">
        <v>542</v>
      </c>
      <c r="B231">
        <v>0</v>
      </c>
      <c r="C231">
        <v>0</v>
      </c>
    </row>
    <row r="232" spans="1:3">
      <c r="A232" t="s">
        <v>14</v>
      </c>
      <c r="B232">
        <v>0</v>
      </c>
      <c r="C232">
        <v>0</v>
      </c>
    </row>
    <row r="233" spans="1:3">
      <c r="A233" t="s">
        <v>19</v>
      </c>
      <c r="B233">
        <v>0</v>
      </c>
      <c r="C233">
        <v>0</v>
      </c>
    </row>
    <row r="234" spans="1:3">
      <c r="A234" t="s">
        <v>291</v>
      </c>
      <c r="B234">
        <v>0</v>
      </c>
      <c r="C234">
        <v>0</v>
      </c>
    </row>
    <row r="235" spans="1:3">
      <c r="A235" t="s">
        <v>20</v>
      </c>
      <c r="B235">
        <v>0</v>
      </c>
      <c r="C235">
        <v>0</v>
      </c>
    </row>
    <row r="236" spans="1:3">
      <c r="A236" t="s">
        <v>22</v>
      </c>
      <c r="B236">
        <v>0</v>
      </c>
      <c r="C236">
        <v>0</v>
      </c>
    </row>
    <row r="237" spans="1:3">
      <c r="A237" t="s">
        <v>386</v>
      </c>
      <c r="B237">
        <v>0</v>
      </c>
      <c r="C237">
        <v>0</v>
      </c>
    </row>
    <row r="238" spans="1:3">
      <c r="A238" t="s">
        <v>3</v>
      </c>
      <c r="B238">
        <v>0</v>
      </c>
      <c r="C238">
        <v>0</v>
      </c>
    </row>
    <row r="239" spans="1:3">
      <c r="A239" t="s">
        <v>9</v>
      </c>
      <c r="B239">
        <v>0</v>
      </c>
      <c r="C239">
        <v>0</v>
      </c>
    </row>
    <row r="240" spans="1:3">
      <c r="A240" t="s">
        <v>290</v>
      </c>
      <c r="B240">
        <v>0</v>
      </c>
      <c r="C240">
        <v>0</v>
      </c>
    </row>
    <row r="241" spans="1:3">
      <c r="A241" t="s">
        <v>13</v>
      </c>
      <c r="B241">
        <v>0</v>
      </c>
      <c r="C241">
        <v>0</v>
      </c>
    </row>
    <row r="242" spans="1:3">
      <c r="A242" t="s">
        <v>77</v>
      </c>
      <c r="B242">
        <v>0</v>
      </c>
      <c r="C242">
        <v>0</v>
      </c>
    </row>
    <row r="243" spans="1:3">
      <c r="A243" t="s">
        <v>17</v>
      </c>
      <c r="B243">
        <v>0</v>
      </c>
      <c r="C243">
        <v>0</v>
      </c>
    </row>
    <row r="244" spans="1:3">
      <c r="A244" t="s">
        <v>15</v>
      </c>
      <c r="B244">
        <v>0</v>
      </c>
      <c r="C244">
        <v>0</v>
      </c>
    </row>
    <row r="245" spans="1:3">
      <c r="A245" t="s">
        <v>326</v>
      </c>
      <c r="B245">
        <v>0</v>
      </c>
      <c r="C245">
        <v>0</v>
      </c>
    </row>
    <row r="246" spans="1:3">
      <c r="A246" t="s">
        <v>21</v>
      </c>
      <c r="B246">
        <v>0</v>
      </c>
      <c r="C246">
        <v>0</v>
      </c>
    </row>
    <row r="247" spans="1:3">
      <c r="A247" t="s">
        <v>1</v>
      </c>
      <c r="B247">
        <v>0</v>
      </c>
      <c r="C247">
        <v>0</v>
      </c>
    </row>
    <row r="248" spans="1:3">
      <c r="A248" t="s">
        <v>5</v>
      </c>
      <c r="B248">
        <v>0</v>
      </c>
      <c r="C248">
        <v>0</v>
      </c>
    </row>
    <row r="249" spans="1:3">
      <c r="A249" t="s">
        <v>7</v>
      </c>
      <c r="B249">
        <v>0</v>
      </c>
      <c r="C249">
        <v>0</v>
      </c>
    </row>
    <row r="250" spans="1:3">
      <c r="A250" t="s">
        <v>11</v>
      </c>
      <c r="B250">
        <v>0</v>
      </c>
      <c r="C250">
        <v>0</v>
      </c>
    </row>
    <row r="251" spans="1:3">
      <c r="A251" t="s">
        <v>78</v>
      </c>
      <c r="B251">
        <v>0</v>
      </c>
      <c r="C251">
        <v>0</v>
      </c>
    </row>
    <row r="252" spans="1:3">
      <c r="A252" t="s">
        <v>18</v>
      </c>
      <c r="B252">
        <v>0</v>
      </c>
      <c r="C252">
        <v>0</v>
      </c>
    </row>
    <row r="253" spans="1:3">
      <c r="A253" t="s">
        <v>23</v>
      </c>
      <c r="B253">
        <v>0</v>
      </c>
      <c r="C253">
        <v>0</v>
      </c>
    </row>
    <row r="254" spans="1:3">
      <c r="A254" t="s">
        <v>531</v>
      </c>
      <c r="B254">
        <v>0</v>
      </c>
      <c r="C254">
        <v>0</v>
      </c>
    </row>
    <row r="255" spans="1:3">
      <c r="A255" t="s">
        <v>532</v>
      </c>
      <c r="B255">
        <v>0</v>
      </c>
      <c r="C255">
        <v>0</v>
      </c>
    </row>
    <row r="256" spans="1:3">
      <c r="A256" t="s">
        <v>533</v>
      </c>
      <c r="B256">
        <v>0</v>
      </c>
      <c r="C256">
        <v>0</v>
      </c>
    </row>
    <row r="257" spans="1:3">
      <c r="A257" t="s">
        <v>721</v>
      </c>
      <c r="B257">
        <v>0</v>
      </c>
      <c r="C257">
        <v>0</v>
      </c>
    </row>
    <row r="258" spans="1:3">
      <c r="A258" t="s">
        <v>722</v>
      </c>
      <c r="B258">
        <v>0</v>
      </c>
      <c r="C258">
        <v>0</v>
      </c>
    </row>
    <row r="259" spans="1:3">
      <c r="A259" t="s">
        <v>791</v>
      </c>
      <c r="B259">
        <v>0</v>
      </c>
      <c r="C259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63"/>
  <sheetViews>
    <sheetView workbookViewId="0">
      <selection activeCell="H421" sqref="H421"/>
    </sheetView>
  </sheetViews>
  <sheetFormatPr defaultColWidth="11" defaultRowHeight="15.75"/>
  <cols>
    <col min="1" max="1" width="17.3125" bestFit="1" customWidth="1"/>
    <col min="2" max="2" width="5.5" bestFit="1" customWidth="1"/>
    <col min="3" max="3" width="4.5" bestFit="1" customWidth="1"/>
    <col min="5" max="5" width="17.3125" bestFit="1" customWidth="1"/>
    <col min="6" max="6" width="5.5" bestFit="1" customWidth="1"/>
    <col min="7" max="7" width="4.5" bestFit="1" customWidth="1"/>
  </cols>
  <sheetData>
    <row r="1" spans="1:3">
      <c r="A1" t="s">
        <v>86</v>
      </c>
      <c r="B1" s="67" t="s">
        <v>79</v>
      </c>
      <c r="C1" s="68" t="s">
        <v>80</v>
      </c>
    </row>
    <row r="2" spans="1:3">
      <c r="A2" t="s">
        <v>64</v>
      </c>
      <c r="B2" s="69">
        <v>24</v>
      </c>
      <c r="C2" s="50">
        <v>12</v>
      </c>
    </row>
    <row r="3" spans="1:3">
      <c r="A3" t="s">
        <v>53</v>
      </c>
      <c r="B3" s="69">
        <v>23</v>
      </c>
      <c r="C3" s="50">
        <v>17</v>
      </c>
    </row>
    <row r="4" spans="1:3">
      <c r="A4" t="s">
        <v>37</v>
      </c>
      <c r="B4" s="69">
        <v>23</v>
      </c>
      <c r="C4" s="50">
        <v>14</v>
      </c>
    </row>
    <row r="5" spans="1:3">
      <c r="A5" t="s">
        <v>47</v>
      </c>
      <c r="B5" s="69">
        <v>22</v>
      </c>
      <c r="C5" s="50">
        <v>15</v>
      </c>
    </row>
    <row r="6" spans="1:3">
      <c r="A6" t="s">
        <v>84</v>
      </c>
      <c r="B6" s="69">
        <v>20</v>
      </c>
      <c r="C6" s="50">
        <v>18</v>
      </c>
    </row>
    <row r="7" spans="1:3">
      <c r="A7" t="s">
        <v>45</v>
      </c>
      <c r="B7" s="69">
        <v>19</v>
      </c>
      <c r="C7" s="50">
        <v>8</v>
      </c>
    </row>
    <row r="8" spans="1:3">
      <c r="A8" t="s">
        <v>36</v>
      </c>
      <c r="B8" s="69">
        <v>16</v>
      </c>
      <c r="C8" s="50">
        <v>17</v>
      </c>
    </row>
    <row r="9" spans="1:3">
      <c r="A9" t="s">
        <v>59</v>
      </c>
      <c r="B9" s="69">
        <v>16</v>
      </c>
      <c r="C9" s="50">
        <v>21</v>
      </c>
    </row>
    <row r="10" spans="1:3">
      <c r="A10" t="s">
        <v>62</v>
      </c>
      <c r="B10" s="69">
        <v>16</v>
      </c>
      <c r="C10" s="50">
        <v>17</v>
      </c>
    </row>
    <row r="11" spans="1:3">
      <c r="A11" t="s">
        <v>43</v>
      </c>
      <c r="B11" s="69">
        <v>13</v>
      </c>
      <c r="C11" s="50">
        <v>18</v>
      </c>
    </row>
    <row r="12" spans="1:3">
      <c r="A12" t="s">
        <v>67</v>
      </c>
      <c r="B12" s="69">
        <v>11</v>
      </c>
      <c r="C12" s="50">
        <v>25</v>
      </c>
    </row>
    <row r="13" spans="1:3">
      <c r="A13" t="s">
        <v>65</v>
      </c>
      <c r="B13" s="69">
        <v>11</v>
      </c>
      <c r="C13" s="50">
        <v>16</v>
      </c>
    </row>
    <row r="14" spans="1:3">
      <c r="A14" t="s">
        <v>50</v>
      </c>
      <c r="B14" s="69">
        <v>10</v>
      </c>
      <c r="C14" s="50">
        <v>20</v>
      </c>
    </row>
    <row r="15" spans="1:3">
      <c r="A15" t="s">
        <v>63</v>
      </c>
      <c r="B15" s="69">
        <v>9</v>
      </c>
      <c r="C15" s="50">
        <v>17</v>
      </c>
    </row>
    <row r="16" spans="1:3">
      <c r="A16" t="s">
        <v>41</v>
      </c>
      <c r="B16" s="69">
        <v>7</v>
      </c>
      <c r="C16" s="50">
        <v>22</v>
      </c>
    </row>
    <row r="17" spans="1:3">
      <c r="A17" t="s">
        <v>57</v>
      </c>
      <c r="B17" s="69">
        <v>4</v>
      </c>
      <c r="C17" s="50">
        <v>20</v>
      </c>
    </row>
    <row r="18" spans="1:3">
      <c r="A18" t="s">
        <v>44</v>
      </c>
      <c r="B18" s="69">
        <v>3</v>
      </c>
      <c r="C18" s="50">
        <v>19</v>
      </c>
    </row>
    <row r="20" spans="1:3">
      <c r="A20" t="s">
        <v>85</v>
      </c>
      <c r="B20" s="67" t="s">
        <v>79</v>
      </c>
      <c r="C20" s="68" t="s">
        <v>80</v>
      </c>
    </row>
    <row r="21" spans="1:3">
      <c r="A21" t="s">
        <v>56</v>
      </c>
      <c r="B21" s="69">
        <v>23</v>
      </c>
      <c r="C21" s="50">
        <v>6</v>
      </c>
    </row>
    <row r="22" spans="1:3">
      <c r="A22" t="s">
        <v>58</v>
      </c>
      <c r="B22" s="69">
        <v>20</v>
      </c>
      <c r="C22" s="50">
        <v>10</v>
      </c>
    </row>
    <row r="23" spans="1:3">
      <c r="A23" t="s">
        <v>49</v>
      </c>
      <c r="B23" s="69">
        <v>18</v>
      </c>
      <c r="C23" s="50">
        <v>15</v>
      </c>
    </row>
    <row r="24" spans="1:3">
      <c r="A24" t="s">
        <v>60</v>
      </c>
      <c r="B24" s="69">
        <v>17</v>
      </c>
      <c r="C24" s="50">
        <v>14</v>
      </c>
    </row>
    <row r="25" spans="1:3">
      <c r="A25" t="s">
        <v>51</v>
      </c>
      <c r="B25" s="69">
        <v>17</v>
      </c>
      <c r="C25" s="50">
        <v>10</v>
      </c>
    </row>
    <row r="26" spans="1:3">
      <c r="A26" t="s">
        <v>24</v>
      </c>
      <c r="B26" s="69">
        <v>16</v>
      </c>
      <c r="C26" s="50">
        <v>17</v>
      </c>
    </row>
    <row r="27" spans="1:3">
      <c r="A27" t="s">
        <v>82</v>
      </c>
      <c r="B27" s="69">
        <v>15</v>
      </c>
      <c r="C27" s="50">
        <v>18</v>
      </c>
    </row>
    <row r="28" spans="1:3">
      <c r="A28" t="s">
        <v>55</v>
      </c>
      <c r="B28" s="69">
        <v>15</v>
      </c>
      <c r="C28" s="50">
        <v>17</v>
      </c>
    </row>
    <row r="29" spans="1:3">
      <c r="A29" t="s">
        <v>61</v>
      </c>
      <c r="B29" s="69">
        <v>15</v>
      </c>
      <c r="C29" s="50">
        <v>14</v>
      </c>
    </row>
    <row r="30" spans="1:3">
      <c r="A30" t="s">
        <v>52</v>
      </c>
      <c r="B30" s="69">
        <v>15</v>
      </c>
      <c r="C30" s="50">
        <v>5</v>
      </c>
    </row>
    <row r="31" spans="1:3">
      <c r="A31" t="s">
        <v>42</v>
      </c>
      <c r="B31" s="69">
        <v>14</v>
      </c>
      <c r="C31" s="50">
        <v>14</v>
      </c>
    </row>
    <row r="32" spans="1:3">
      <c r="A32" t="s">
        <v>46</v>
      </c>
      <c r="B32" s="69">
        <v>13</v>
      </c>
      <c r="C32" s="50">
        <v>15</v>
      </c>
    </row>
    <row r="33" spans="1:3">
      <c r="A33" t="s">
        <v>39</v>
      </c>
      <c r="B33" s="69">
        <v>13</v>
      </c>
      <c r="C33" s="50">
        <v>17</v>
      </c>
    </row>
    <row r="34" spans="1:3">
      <c r="A34" t="s">
        <v>66</v>
      </c>
      <c r="B34" s="69">
        <v>13</v>
      </c>
      <c r="C34" s="50">
        <v>14</v>
      </c>
    </row>
    <row r="35" spans="1:3">
      <c r="A35" t="s">
        <v>38</v>
      </c>
      <c r="B35" s="69">
        <v>12</v>
      </c>
      <c r="C35" s="50">
        <v>19</v>
      </c>
    </row>
    <row r="36" spans="1:3">
      <c r="A36" t="s">
        <v>54</v>
      </c>
      <c r="B36" s="69">
        <v>11</v>
      </c>
      <c r="C36" s="50">
        <v>16</v>
      </c>
    </row>
    <row r="37" spans="1:3">
      <c r="A37" t="s">
        <v>40</v>
      </c>
      <c r="B37" s="69">
        <v>4</v>
      </c>
      <c r="C37" s="50">
        <v>19</v>
      </c>
    </row>
    <row r="38" spans="1:3">
      <c r="A38" t="s">
        <v>48</v>
      </c>
      <c r="B38" s="69">
        <v>2</v>
      </c>
      <c r="C38" s="50">
        <v>14</v>
      </c>
    </row>
    <row r="425" spans="1:3">
      <c r="A425" t="s">
        <v>791</v>
      </c>
      <c r="B425">
        <v>0</v>
      </c>
      <c r="C425">
        <v>0</v>
      </c>
    </row>
    <row r="426" spans="1:3">
      <c r="A426" t="s">
        <v>446</v>
      </c>
      <c r="B426">
        <v>0</v>
      </c>
      <c r="C426">
        <v>0</v>
      </c>
    </row>
    <row r="427" spans="1:3">
      <c r="A427" t="s">
        <v>445</v>
      </c>
      <c r="B427">
        <v>0</v>
      </c>
      <c r="C427">
        <v>0</v>
      </c>
    </row>
    <row r="428" spans="1:3">
      <c r="A428" t="s">
        <v>2</v>
      </c>
      <c r="B428">
        <v>0</v>
      </c>
      <c r="C428">
        <v>0</v>
      </c>
    </row>
    <row r="429" spans="1:3">
      <c r="A429" t="s">
        <v>4</v>
      </c>
      <c r="B429">
        <v>0</v>
      </c>
      <c r="C429">
        <v>0</v>
      </c>
    </row>
    <row r="430" spans="1:3">
      <c r="A430" t="s">
        <v>8</v>
      </c>
      <c r="B430">
        <v>0</v>
      </c>
      <c r="C430">
        <v>0</v>
      </c>
    </row>
    <row r="431" spans="1:3">
      <c r="A431" t="s">
        <v>76</v>
      </c>
      <c r="B431">
        <v>0</v>
      </c>
      <c r="C431">
        <v>0</v>
      </c>
    </row>
    <row r="432" spans="1:3">
      <c r="A432" t="s">
        <v>10</v>
      </c>
      <c r="B432">
        <v>0</v>
      </c>
      <c r="C432">
        <v>0</v>
      </c>
    </row>
    <row r="433" spans="1:3">
      <c r="A433" t="s">
        <v>12</v>
      </c>
      <c r="B433">
        <v>0</v>
      </c>
      <c r="C433">
        <v>0</v>
      </c>
    </row>
    <row r="434" spans="1:3">
      <c r="A434" t="s">
        <v>16</v>
      </c>
      <c r="B434">
        <v>0</v>
      </c>
      <c r="C434">
        <v>0</v>
      </c>
    </row>
    <row r="435" spans="1:3">
      <c r="A435" t="s">
        <v>6</v>
      </c>
      <c r="B435">
        <v>0</v>
      </c>
      <c r="C435">
        <v>0</v>
      </c>
    </row>
    <row r="436" spans="1:3">
      <c r="A436" t="s">
        <v>542</v>
      </c>
      <c r="B436">
        <v>0</v>
      </c>
      <c r="C436">
        <v>0</v>
      </c>
    </row>
    <row r="437" spans="1:3">
      <c r="A437" t="s">
        <v>14</v>
      </c>
      <c r="B437">
        <v>0</v>
      </c>
      <c r="C437">
        <v>0</v>
      </c>
    </row>
    <row r="438" spans="1:3">
      <c r="A438" t="s">
        <v>19</v>
      </c>
      <c r="B438">
        <v>0</v>
      </c>
      <c r="C438">
        <v>0</v>
      </c>
    </row>
    <row r="439" spans="1:3">
      <c r="A439" t="s">
        <v>291</v>
      </c>
      <c r="B439">
        <v>0</v>
      </c>
      <c r="C439">
        <v>0</v>
      </c>
    </row>
    <row r="440" spans="1:3">
      <c r="A440" t="s">
        <v>20</v>
      </c>
      <c r="B440">
        <v>0</v>
      </c>
      <c r="C440">
        <v>0</v>
      </c>
    </row>
    <row r="441" spans="1:3">
      <c r="A441" t="s">
        <v>22</v>
      </c>
      <c r="B441">
        <v>0</v>
      </c>
      <c r="C441">
        <v>0</v>
      </c>
    </row>
    <row r="442" spans="1:3">
      <c r="A442" t="s">
        <v>386</v>
      </c>
      <c r="B442">
        <v>0</v>
      </c>
      <c r="C442">
        <v>0</v>
      </c>
    </row>
    <row r="443" spans="1:3">
      <c r="A443" t="s">
        <v>3</v>
      </c>
      <c r="B443">
        <v>0</v>
      </c>
      <c r="C443">
        <v>0</v>
      </c>
    </row>
    <row r="444" spans="1:3">
      <c r="A444" t="s">
        <v>9</v>
      </c>
      <c r="B444">
        <v>0</v>
      </c>
      <c r="C444">
        <v>0</v>
      </c>
    </row>
    <row r="445" spans="1:3">
      <c r="A445" t="s">
        <v>290</v>
      </c>
      <c r="B445">
        <v>0</v>
      </c>
      <c r="C445">
        <v>0</v>
      </c>
    </row>
    <row r="446" spans="1:3">
      <c r="A446" t="s">
        <v>13</v>
      </c>
      <c r="B446">
        <v>0</v>
      </c>
      <c r="C446">
        <v>0</v>
      </c>
    </row>
    <row r="447" spans="1:3">
      <c r="A447" t="s">
        <v>77</v>
      </c>
      <c r="B447">
        <v>0</v>
      </c>
      <c r="C447">
        <v>0</v>
      </c>
    </row>
    <row r="448" spans="1:3">
      <c r="A448" t="s">
        <v>17</v>
      </c>
      <c r="B448">
        <v>0</v>
      </c>
      <c r="C448">
        <v>0</v>
      </c>
    </row>
    <row r="449" spans="1:3">
      <c r="A449" t="s">
        <v>15</v>
      </c>
      <c r="B449">
        <v>0</v>
      </c>
      <c r="C449">
        <v>0</v>
      </c>
    </row>
    <row r="450" spans="1:3">
      <c r="A450" t="s">
        <v>326</v>
      </c>
      <c r="B450">
        <v>0</v>
      </c>
      <c r="C450">
        <v>0</v>
      </c>
    </row>
    <row r="451" spans="1:3">
      <c r="A451" t="s">
        <v>21</v>
      </c>
      <c r="B451">
        <v>0</v>
      </c>
      <c r="C451">
        <v>0</v>
      </c>
    </row>
    <row r="452" spans="1:3">
      <c r="A452" t="s">
        <v>1</v>
      </c>
      <c r="B452">
        <v>0</v>
      </c>
      <c r="C452">
        <v>0</v>
      </c>
    </row>
    <row r="453" spans="1:3">
      <c r="A453" t="s">
        <v>5</v>
      </c>
      <c r="B453">
        <v>0</v>
      </c>
      <c r="C453">
        <v>0</v>
      </c>
    </row>
    <row r="454" spans="1:3">
      <c r="A454" t="s">
        <v>7</v>
      </c>
      <c r="B454">
        <v>0</v>
      </c>
      <c r="C454">
        <v>0</v>
      </c>
    </row>
    <row r="455" spans="1:3">
      <c r="A455" t="s">
        <v>11</v>
      </c>
      <c r="B455">
        <v>0</v>
      </c>
      <c r="C455">
        <v>0</v>
      </c>
    </row>
    <row r="456" spans="1:3">
      <c r="A456" t="s">
        <v>78</v>
      </c>
      <c r="B456">
        <v>0</v>
      </c>
      <c r="C456">
        <v>0</v>
      </c>
    </row>
    <row r="457" spans="1:3">
      <c r="A457" t="s">
        <v>18</v>
      </c>
      <c r="B457">
        <v>0</v>
      </c>
      <c r="C457">
        <v>0</v>
      </c>
    </row>
    <row r="458" spans="1:3">
      <c r="A458" t="s">
        <v>23</v>
      </c>
      <c r="B458">
        <v>0</v>
      </c>
      <c r="C458">
        <v>0</v>
      </c>
    </row>
    <row r="459" spans="1:3">
      <c r="A459" t="s">
        <v>531</v>
      </c>
      <c r="B459">
        <v>0</v>
      </c>
      <c r="C459">
        <v>0</v>
      </c>
    </row>
    <row r="460" spans="1:3">
      <c r="A460" t="s">
        <v>532</v>
      </c>
      <c r="B460">
        <v>0</v>
      </c>
      <c r="C460">
        <v>0</v>
      </c>
    </row>
    <row r="461" spans="1:3">
      <c r="A461" t="s">
        <v>533</v>
      </c>
      <c r="B461">
        <v>0</v>
      </c>
      <c r="C461">
        <v>0</v>
      </c>
    </row>
    <row r="462" spans="1:3">
      <c r="A462" t="s">
        <v>721</v>
      </c>
      <c r="B462">
        <v>0</v>
      </c>
      <c r="C462">
        <v>0</v>
      </c>
    </row>
    <row r="463" spans="1:3">
      <c r="A463" t="s">
        <v>722</v>
      </c>
      <c r="B463">
        <v>0</v>
      </c>
      <c r="C463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Current Roster</vt:lpstr>
      <vt:lpstr>Ultimate Draft</vt:lpstr>
      <vt:lpstr>Championship History</vt:lpstr>
      <vt:lpstr>Award History</vt:lpstr>
      <vt:lpstr>Career Stats</vt:lpstr>
      <vt:lpstr>Ultimate Tourney</vt:lpstr>
      <vt:lpstr>Season 7</vt:lpstr>
      <vt:lpstr>Season 7 Stats</vt:lpstr>
      <vt:lpstr>Season 7 Awards</vt:lpstr>
      <vt:lpstr>Season 7 Draft</vt:lpstr>
      <vt:lpstr>Season 6</vt:lpstr>
      <vt:lpstr>Season 6 Stats</vt:lpstr>
      <vt:lpstr>Season 6 Awards</vt:lpstr>
      <vt:lpstr>Season 5</vt:lpstr>
      <vt:lpstr>Season 5 Awards</vt:lpstr>
      <vt:lpstr>Season 5 Stats</vt:lpstr>
      <vt:lpstr>Season 4 Stats</vt:lpstr>
      <vt:lpstr>Season 3 Stats</vt:lpstr>
      <vt:lpstr>Season 2 Stats</vt:lpstr>
      <vt:lpstr>Season 1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Peck</dc:creator>
  <cp:lastModifiedBy>Ian Peck</cp:lastModifiedBy>
  <dcterms:created xsi:type="dcterms:W3CDTF">2018-07-04T02:14:05Z</dcterms:created>
  <dcterms:modified xsi:type="dcterms:W3CDTF">2024-06-09T01:00:23Z</dcterms:modified>
</cp:coreProperties>
</file>